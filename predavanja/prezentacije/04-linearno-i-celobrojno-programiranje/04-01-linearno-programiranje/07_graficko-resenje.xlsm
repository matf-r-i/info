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lado\Courses\----documents-courses\matf-ri\prezentacije\04-linearno-i-celobrojno-programiranje\04-01-linearno-programiranje\"/>
    </mc:Choice>
  </mc:AlternateContent>
  <workbookProtection workbookPassword="8C8B" lockStructure="1"/>
  <bookViews>
    <workbookView xWindow="4260" yWindow="450" windowWidth="21930" windowHeight="13170"/>
  </bookViews>
  <sheets>
    <sheet name="Feasible region" sheetId="2" r:id="rId1"/>
    <sheet name="Data" sheetId="1" state="hidden" r:id="rId2"/>
  </sheets>
  <definedNames>
    <definedName name="Profit">Data!$J$5</definedName>
  </definedNames>
  <calcPr calcId="162913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/>
  <c r="D5" i="1"/>
  <c r="G5" i="1" s="1"/>
  <c r="D3" i="1"/>
  <c r="G3" i="1" s="1"/>
  <c r="D4" i="1"/>
  <c r="C5" i="1"/>
  <c r="C243" i="1" s="1"/>
  <c r="F243" i="1" s="1"/>
  <c r="C4" i="1"/>
  <c r="C3" i="1"/>
  <c r="B5" i="1"/>
  <c r="B3" i="1"/>
  <c r="E3" i="1" s="1"/>
  <c r="B4" i="1"/>
  <c r="E4" i="1" s="1"/>
  <c r="I4" i="1"/>
  <c r="G255" i="1"/>
  <c r="F255" i="1"/>
  <c r="E255" i="1"/>
  <c r="C219" i="1" l="1"/>
  <c r="F219" i="1" s="1"/>
  <c r="C183" i="1"/>
  <c r="F183" i="1" s="1"/>
  <c r="C235" i="1"/>
  <c r="F235" i="1" s="1"/>
  <c r="C50" i="1"/>
  <c r="F50" i="1" s="1"/>
  <c r="C42" i="1"/>
  <c r="F42" i="1" s="1"/>
  <c r="C34" i="1"/>
  <c r="F34" i="1" s="1"/>
  <c r="C10" i="1"/>
  <c r="F10" i="1" s="1"/>
  <c r="C227" i="1"/>
  <c r="F227" i="1" s="1"/>
  <c r="C18" i="1"/>
  <c r="F18" i="1" s="1"/>
  <c r="B233" i="1"/>
  <c r="E233" i="1" s="1"/>
  <c r="C26" i="1"/>
  <c r="F26" i="1" s="1"/>
  <c r="C202" i="1"/>
  <c r="F202" i="1" s="1"/>
  <c r="C113" i="1"/>
  <c r="F113" i="1" s="1"/>
  <c r="C152" i="1"/>
  <c r="F152" i="1" s="1"/>
  <c r="C253" i="1"/>
  <c r="F253" i="1" s="1"/>
  <c r="T5" i="1"/>
  <c r="F5" i="1"/>
  <c r="C52" i="1"/>
  <c r="F52" i="1" s="1"/>
  <c r="C44" i="1"/>
  <c r="F44" i="1" s="1"/>
  <c r="C36" i="1"/>
  <c r="F36" i="1" s="1"/>
  <c r="C28" i="1"/>
  <c r="F28" i="1" s="1"/>
  <c r="C20" i="1"/>
  <c r="F20" i="1" s="1"/>
  <c r="C12" i="1"/>
  <c r="F12" i="1" s="1"/>
  <c r="C244" i="1"/>
  <c r="F244" i="1" s="1"/>
  <c r="C236" i="1"/>
  <c r="F236" i="1" s="1"/>
  <c r="C228" i="1"/>
  <c r="F228" i="1" s="1"/>
  <c r="C220" i="1"/>
  <c r="F220" i="1" s="1"/>
  <c r="C211" i="1"/>
  <c r="F211" i="1" s="1"/>
  <c r="C186" i="1"/>
  <c r="F186" i="1" s="1"/>
  <c r="C162" i="1"/>
  <c r="F162" i="1" s="1"/>
  <c r="D68" i="1"/>
  <c r="G68" i="1" s="1"/>
  <c r="C48" i="1"/>
  <c r="F48" i="1" s="1"/>
  <c r="C40" i="1"/>
  <c r="F40" i="1" s="1"/>
  <c r="C32" i="1"/>
  <c r="F32" i="1" s="1"/>
  <c r="C24" i="1"/>
  <c r="F24" i="1" s="1"/>
  <c r="C16" i="1"/>
  <c r="F16" i="1" s="1"/>
  <c r="C8" i="1"/>
  <c r="F8" i="1" s="1"/>
  <c r="Q10" i="1"/>
  <c r="U10" i="1" s="1"/>
  <c r="C249" i="1"/>
  <c r="F249" i="1" s="1"/>
  <c r="C241" i="1"/>
  <c r="F241" i="1" s="1"/>
  <c r="C233" i="1"/>
  <c r="F233" i="1" s="1"/>
  <c r="C225" i="1"/>
  <c r="F225" i="1" s="1"/>
  <c r="C217" i="1"/>
  <c r="F217" i="1" s="1"/>
  <c r="C199" i="1"/>
  <c r="F199" i="1" s="1"/>
  <c r="C179" i="1"/>
  <c r="F179" i="1" s="1"/>
  <c r="C144" i="1"/>
  <c r="F144" i="1" s="1"/>
  <c r="C80" i="1"/>
  <c r="F80" i="1" s="1"/>
  <c r="C54" i="1"/>
  <c r="C46" i="1"/>
  <c r="F46" i="1" s="1"/>
  <c r="C38" i="1"/>
  <c r="F38" i="1" s="1"/>
  <c r="C30" i="1"/>
  <c r="F30" i="1" s="1"/>
  <c r="C22" i="1"/>
  <c r="C14" i="1"/>
  <c r="F14" i="1" s="1"/>
  <c r="C6" i="1"/>
  <c r="F6" i="1" s="1"/>
  <c r="F3" i="1"/>
  <c r="C246" i="1"/>
  <c r="F246" i="1" s="1"/>
  <c r="C238" i="1"/>
  <c r="F238" i="1" s="1"/>
  <c r="C230" i="1"/>
  <c r="F230" i="1" s="1"/>
  <c r="C222" i="1"/>
  <c r="F222" i="1" s="1"/>
  <c r="C214" i="1"/>
  <c r="F214" i="1" s="1"/>
  <c r="C195" i="1"/>
  <c r="F195" i="1" s="1"/>
  <c r="C169" i="1"/>
  <c r="F169" i="1" s="1"/>
  <c r="C170" i="1"/>
  <c r="F170" i="1" s="1"/>
  <c r="C155" i="1"/>
  <c r="F155" i="1" s="1"/>
  <c r="C120" i="1"/>
  <c r="F120" i="1" s="1"/>
  <c r="D50" i="1"/>
  <c r="G50" i="1" s="1"/>
  <c r="D28" i="1"/>
  <c r="G28" i="1" s="1"/>
  <c r="D8" i="1"/>
  <c r="G8" i="1" s="1"/>
  <c r="C198" i="1"/>
  <c r="F198" i="1" s="1"/>
  <c r="C182" i="1"/>
  <c r="F182" i="1" s="1"/>
  <c r="C163" i="1"/>
  <c r="F163" i="1" s="1"/>
  <c r="C145" i="1"/>
  <c r="F145" i="1" s="1"/>
  <c r="C82" i="1"/>
  <c r="F82" i="1" s="1"/>
  <c r="C138" i="1"/>
  <c r="F138" i="1" s="1"/>
  <c r="C112" i="1"/>
  <c r="F112" i="1" s="1"/>
  <c r="C131" i="1"/>
  <c r="F131" i="1" s="1"/>
  <c r="C110" i="1"/>
  <c r="F110" i="1" s="1"/>
  <c r="C53" i="1"/>
  <c r="F53" i="1" s="1"/>
  <c r="Q9" i="1"/>
  <c r="B148" i="1"/>
  <c r="E148" i="1" s="1"/>
  <c r="B212" i="1"/>
  <c r="E212" i="1" s="1"/>
  <c r="B62" i="1"/>
  <c r="E62" i="1" s="1"/>
  <c r="B33" i="1"/>
  <c r="E33" i="1" s="1"/>
  <c r="B106" i="1"/>
  <c r="E106" i="1" s="1"/>
  <c r="D18" i="1"/>
  <c r="G18" i="1" s="1"/>
  <c r="R6" i="1"/>
  <c r="Q6" i="1" s="1"/>
  <c r="S6" i="1" s="1"/>
  <c r="W6" i="1" s="1"/>
  <c r="B74" i="1"/>
  <c r="E74" i="1" s="1"/>
  <c r="B116" i="1"/>
  <c r="E116" i="1" s="1"/>
  <c r="B164" i="1"/>
  <c r="E164" i="1" s="1"/>
  <c r="B228" i="1"/>
  <c r="E228" i="1" s="1"/>
  <c r="B17" i="1"/>
  <c r="E17" i="1" s="1"/>
  <c r="B30" i="1"/>
  <c r="E30" i="1" s="1"/>
  <c r="B84" i="1"/>
  <c r="E84" i="1" s="1"/>
  <c r="B126" i="1"/>
  <c r="E126" i="1" s="1"/>
  <c r="B180" i="1"/>
  <c r="E180" i="1" s="1"/>
  <c r="B244" i="1"/>
  <c r="E244" i="1" s="1"/>
  <c r="D40" i="1"/>
  <c r="G40" i="1" s="1"/>
  <c r="B50" i="1"/>
  <c r="E50" i="1" s="1"/>
  <c r="B94" i="1"/>
  <c r="E94" i="1" s="1"/>
  <c r="B138" i="1"/>
  <c r="E138" i="1" s="1"/>
  <c r="B196" i="1"/>
  <c r="E196" i="1" s="1"/>
  <c r="B49" i="1"/>
  <c r="E49" i="1" s="1"/>
  <c r="D220" i="1"/>
  <c r="G220" i="1" s="1"/>
  <c r="B77" i="1"/>
  <c r="E77" i="1" s="1"/>
  <c r="B105" i="1"/>
  <c r="E105" i="1" s="1"/>
  <c r="B135" i="1"/>
  <c r="E135" i="1" s="1"/>
  <c r="B167" i="1"/>
  <c r="E167" i="1" s="1"/>
  <c r="B177" i="1"/>
  <c r="E177" i="1" s="1"/>
  <c r="B193" i="1"/>
  <c r="E193" i="1" s="1"/>
  <c r="B209" i="1"/>
  <c r="E209" i="1" s="1"/>
  <c r="B219" i="1"/>
  <c r="B227" i="1"/>
  <c r="B235" i="1"/>
  <c r="B243" i="1"/>
  <c r="B6" i="1"/>
  <c r="E6" i="1" s="1"/>
  <c r="B111" i="1"/>
  <c r="E111" i="1" s="1"/>
  <c r="B143" i="1"/>
  <c r="E143" i="1" s="1"/>
  <c r="B181" i="1"/>
  <c r="E181" i="1" s="1"/>
  <c r="B197" i="1"/>
  <c r="E197" i="1" s="1"/>
  <c r="B213" i="1"/>
  <c r="E213" i="1" s="1"/>
  <c r="B221" i="1"/>
  <c r="B229" i="1"/>
  <c r="B237" i="1"/>
  <c r="B245" i="1"/>
  <c r="B251" i="1"/>
  <c r="E251" i="1" s="1"/>
  <c r="B87" i="1"/>
  <c r="E87" i="1" s="1"/>
  <c r="B109" i="1"/>
  <c r="E109" i="1" s="1"/>
  <c r="B151" i="1"/>
  <c r="E151" i="1" s="1"/>
  <c r="B185" i="1"/>
  <c r="E185" i="1" s="1"/>
  <c r="B215" i="1"/>
  <c r="B231" i="1"/>
  <c r="B247" i="1"/>
  <c r="E247" i="1" s="1"/>
  <c r="Q11" i="1"/>
  <c r="T11" i="1" s="1"/>
  <c r="B13" i="1"/>
  <c r="E13" i="1" s="1"/>
  <c r="B21" i="1"/>
  <c r="E21" i="1" s="1"/>
  <c r="B29" i="1"/>
  <c r="E29" i="1" s="1"/>
  <c r="B37" i="1"/>
  <c r="E37" i="1" s="1"/>
  <c r="B45" i="1"/>
  <c r="E45" i="1" s="1"/>
  <c r="B53" i="1"/>
  <c r="E53" i="1" s="1"/>
  <c r="B248" i="1"/>
  <c r="B240" i="1"/>
  <c r="B232" i="1"/>
  <c r="B224" i="1"/>
  <c r="B216" i="1"/>
  <c r="B208" i="1"/>
  <c r="E208" i="1" s="1"/>
  <c r="B200" i="1"/>
  <c r="E200" i="1" s="1"/>
  <c r="B192" i="1"/>
  <c r="E192" i="1" s="1"/>
  <c r="B184" i="1"/>
  <c r="E184" i="1" s="1"/>
  <c r="B176" i="1"/>
  <c r="E176" i="1" s="1"/>
  <c r="B168" i="1"/>
  <c r="E168" i="1" s="1"/>
  <c r="B160" i="1"/>
  <c r="E160" i="1" s="1"/>
  <c r="B152" i="1"/>
  <c r="E152" i="1" s="1"/>
  <c r="B144" i="1"/>
  <c r="E144" i="1" s="1"/>
  <c r="B136" i="1"/>
  <c r="E136" i="1" s="1"/>
  <c r="B128" i="1"/>
  <c r="E128" i="1" s="1"/>
  <c r="B120" i="1"/>
  <c r="E120" i="1" s="1"/>
  <c r="B112" i="1"/>
  <c r="E112" i="1" s="1"/>
  <c r="B104" i="1"/>
  <c r="E104" i="1" s="1"/>
  <c r="B96" i="1"/>
  <c r="E96" i="1" s="1"/>
  <c r="B88" i="1"/>
  <c r="E88" i="1" s="1"/>
  <c r="B80" i="1"/>
  <c r="E80" i="1" s="1"/>
  <c r="B72" i="1"/>
  <c r="E72" i="1" s="1"/>
  <c r="B64" i="1"/>
  <c r="E64" i="1" s="1"/>
  <c r="B56" i="1"/>
  <c r="E56" i="1" s="1"/>
  <c r="B42" i="1"/>
  <c r="E42" i="1" s="1"/>
  <c r="B26" i="1"/>
  <c r="E26" i="1" s="1"/>
  <c r="B10" i="1"/>
  <c r="E10" i="1" s="1"/>
  <c r="B61" i="1"/>
  <c r="E61" i="1" s="1"/>
  <c r="B159" i="1"/>
  <c r="E159" i="1" s="1"/>
  <c r="B173" i="1"/>
  <c r="E173" i="1" s="1"/>
  <c r="B205" i="1"/>
  <c r="E205" i="1" s="1"/>
  <c r="B225" i="1"/>
  <c r="B241" i="1"/>
  <c r="B253" i="1"/>
  <c r="E5" i="1"/>
  <c r="B7" i="1"/>
  <c r="E7" i="1" s="1"/>
  <c r="B15" i="1"/>
  <c r="E15" i="1" s="1"/>
  <c r="B23" i="1"/>
  <c r="E23" i="1" s="1"/>
  <c r="B31" i="1"/>
  <c r="E31" i="1" s="1"/>
  <c r="B39" i="1"/>
  <c r="E39" i="1" s="1"/>
  <c r="B47" i="1"/>
  <c r="E47" i="1" s="1"/>
  <c r="B254" i="1"/>
  <c r="E254" i="1" s="1"/>
  <c r="B246" i="1"/>
  <c r="B238" i="1"/>
  <c r="B230" i="1"/>
  <c r="B222" i="1"/>
  <c r="B214" i="1"/>
  <c r="B206" i="1"/>
  <c r="E206" i="1" s="1"/>
  <c r="B198" i="1"/>
  <c r="E198" i="1" s="1"/>
  <c r="B190" i="1"/>
  <c r="E190" i="1" s="1"/>
  <c r="B182" i="1"/>
  <c r="E182" i="1" s="1"/>
  <c r="B174" i="1"/>
  <c r="E174" i="1" s="1"/>
  <c r="B166" i="1"/>
  <c r="E166" i="1" s="1"/>
  <c r="B158" i="1"/>
  <c r="E158" i="1" s="1"/>
  <c r="B150" i="1"/>
  <c r="E150" i="1" s="1"/>
  <c r="B119" i="1"/>
  <c r="E119" i="1" s="1"/>
  <c r="B201" i="1"/>
  <c r="E201" i="1" s="1"/>
  <c r="B223" i="1"/>
  <c r="B239" i="1"/>
  <c r="D48" i="1"/>
  <c r="G48" i="1" s="1"/>
  <c r="D36" i="1"/>
  <c r="G36" i="1" s="1"/>
  <c r="D26" i="1"/>
  <c r="G26" i="1" s="1"/>
  <c r="D16" i="1"/>
  <c r="G16" i="1" s="1"/>
  <c r="B14" i="1"/>
  <c r="E14" i="1" s="1"/>
  <c r="B34" i="1"/>
  <c r="E34" i="1" s="1"/>
  <c r="B54" i="1"/>
  <c r="E54" i="1" s="1"/>
  <c r="B66" i="1"/>
  <c r="E66" i="1" s="1"/>
  <c r="B76" i="1"/>
  <c r="E76" i="1" s="1"/>
  <c r="B86" i="1"/>
  <c r="E86" i="1" s="1"/>
  <c r="B98" i="1"/>
  <c r="E98" i="1" s="1"/>
  <c r="B108" i="1"/>
  <c r="E108" i="1" s="1"/>
  <c r="B118" i="1"/>
  <c r="E118" i="1" s="1"/>
  <c r="B130" i="1"/>
  <c r="E130" i="1" s="1"/>
  <c r="B140" i="1"/>
  <c r="E140" i="1" s="1"/>
  <c r="B154" i="1"/>
  <c r="E154" i="1" s="1"/>
  <c r="B170" i="1"/>
  <c r="E170" i="1" s="1"/>
  <c r="B186" i="1"/>
  <c r="E186" i="1" s="1"/>
  <c r="B202" i="1"/>
  <c r="E202" i="1" s="1"/>
  <c r="B218" i="1"/>
  <c r="B234" i="1"/>
  <c r="B250" i="1"/>
  <c r="E250" i="1" s="1"/>
  <c r="B43" i="1"/>
  <c r="E43" i="1" s="1"/>
  <c r="B27" i="1"/>
  <c r="E27" i="1" s="1"/>
  <c r="B11" i="1"/>
  <c r="E11" i="1" s="1"/>
  <c r="B249" i="1"/>
  <c r="D236" i="1"/>
  <c r="G236" i="1" s="1"/>
  <c r="B189" i="1"/>
  <c r="E189" i="1" s="1"/>
  <c r="D141" i="1"/>
  <c r="G141" i="1" s="1"/>
  <c r="B127" i="1"/>
  <c r="E127" i="1" s="1"/>
  <c r="D44" i="1"/>
  <c r="G44" i="1" s="1"/>
  <c r="D34" i="1"/>
  <c r="G34" i="1" s="1"/>
  <c r="D24" i="1"/>
  <c r="G24" i="1" s="1"/>
  <c r="D12" i="1"/>
  <c r="G12" i="1" s="1"/>
  <c r="B18" i="1"/>
  <c r="E18" i="1" s="1"/>
  <c r="B38" i="1"/>
  <c r="E38" i="1" s="1"/>
  <c r="B58" i="1"/>
  <c r="E58" i="1" s="1"/>
  <c r="B68" i="1"/>
  <c r="E68" i="1" s="1"/>
  <c r="B78" i="1"/>
  <c r="E78" i="1" s="1"/>
  <c r="B90" i="1"/>
  <c r="E90" i="1" s="1"/>
  <c r="B100" i="1"/>
  <c r="E100" i="1" s="1"/>
  <c r="B110" i="1"/>
  <c r="B122" i="1"/>
  <c r="E122" i="1" s="1"/>
  <c r="B132" i="1"/>
  <c r="E132" i="1" s="1"/>
  <c r="B142" i="1"/>
  <c r="E142" i="1" s="1"/>
  <c r="B156" i="1"/>
  <c r="E156" i="1" s="1"/>
  <c r="B172" i="1"/>
  <c r="E172" i="1" s="1"/>
  <c r="B188" i="1"/>
  <c r="E188" i="1" s="1"/>
  <c r="B204" i="1"/>
  <c r="E204" i="1" s="1"/>
  <c r="B220" i="1"/>
  <c r="B236" i="1"/>
  <c r="B252" i="1"/>
  <c r="B41" i="1"/>
  <c r="E41" i="1" s="1"/>
  <c r="B25" i="1"/>
  <c r="E25" i="1" s="1"/>
  <c r="B9" i="1"/>
  <c r="E9" i="1" s="1"/>
  <c r="D6" i="1"/>
  <c r="G6" i="1" s="1"/>
  <c r="D223" i="1"/>
  <c r="G223" i="1" s="1"/>
  <c r="D176" i="1"/>
  <c r="G176" i="1" s="1"/>
  <c r="D148" i="1"/>
  <c r="G148" i="1" s="1"/>
  <c r="B107" i="1"/>
  <c r="E107" i="1" s="1"/>
  <c r="G4" i="1"/>
  <c r="R12" i="1" s="1"/>
  <c r="D55" i="1"/>
  <c r="G55" i="1" s="1"/>
  <c r="D83" i="1"/>
  <c r="G83" i="1" s="1"/>
  <c r="D110" i="1"/>
  <c r="G110" i="1" s="1"/>
  <c r="D117" i="1"/>
  <c r="G117" i="1" s="1"/>
  <c r="D124" i="1"/>
  <c r="G124" i="1" s="1"/>
  <c r="D131" i="1"/>
  <c r="G131" i="1" s="1"/>
  <c r="D142" i="1"/>
  <c r="G142" i="1" s="1"/>
  <c r="D149" i="1"/>
  <c r="G149" i="1" s="1"/>
  <c r="D156" i="1"/>
  <c r="G156" i="1" s="1"/>
  <c r="D163" i="1"/>
  <c r="G163" i="1" s="1"/>
  <c r="D180" i="1"/>
  <c r="G180" i="1" s="1"/>
  <c r="D183" i="1"/>
  <c r="G183" i="1" s="1"/>
  <c r="D196" i="1"/>
  <c r="G196" i="1" s="1"/>
  <c r="D199" i="1"/>
  <c r="G199" i="1" s="1"/>
  <c r="D212" i="1"/>
  <c r="G212" i="1" s="1"/>
  <c r="D214" i="1"/>
  <c r="G214" i="1" s="1"/>
  <c r="D217" i="1"/>
  <c r="G217" i="1" s="1"/>
  <c r="D222" i="1"/>
  <c r="G222" i="1" s="1"/>
  <c r="D225" i="1"/>
  <c r="G225" i="1" s="1"/>
  <c r="D230" i="1"/>
  <c r="G230" i="1" s="1"/>
  <c r="D233" i="1"/>
  <c r="G233" i="1" s="1"/>
  <c r="D238" i="1"/>
  <c r="G238" i="1" s="1"/>
  <c r="D241" i="1"/>
  <c r="G241" i="1" s="1"/>
  <c r="D246" i="1"/>
  <c r="G246" i="1" s="1"/>
  <c r="D249" i="1"/>
  <c r="G249" i="1" s="1"/>
  <c r="D253" i="1"/>
  <c r="G253" i="1" s="1"/>
  <c r="D17" i="1"/>
  <c r="G17" i="1" s="1"/>
  <c r="D37" i="1"/>
  <c r="G37" i="1" s="1"/>
  <c r="D57" i="1"/>
  <c r="G57" i="1" s="1"/>
  <c r="D85" i="1"/>
  <c r="G85" i="1" s="1"/>
  <c r="D118" i="1"/>
  <c r="G118" i="1" s="1"/>
  <c r="D125" i="1"/>
  <c r="G125" i="1" s="1"/>
  <c r="D132" i="1"/>
  <c r="G132" i="1" s="1"/>
  <c r="D139" i="1"/>
  <c r="G139" i="1" s="1"/>
  <c r="D150" i="1"/>
  <c r="G150" i="1" s="1"/>
  <c r="D157" i="1"/>
  <c r="G157" i="1" s="1"/>
  <c r="D164" i="1"/>
  <c r="G164" i="1" s="1"/>
  <c r="D171" i="1"/>
  <c r="G171" i="1" s="1"/>
  <c r="D184" i="1"/>
  <c r="G184" i="1" s="1"/>
  <c r="D187" i="1"/>
  <c r="G187" i="1" s="1"/>
  <c r="D200" i="1"/>
  <c r="G200" i="1" s="1"/>
  <c r="D203" i="1"/>
  <c r="G203" i="1" s="1"/>
  <c r="D216" i="1"/>
  <c r="G216" i="1" s="1"/>
  <c r="D219" i="1"/>
  <c r="G219" i="1" s="1"/>
  <c r="D224" i="1"/>
  <c r="G224" i="1" s="1"/>
  <c r="D227" i="1"/>
  <c r="G227" i="1" s="1"/>
  <c r="D232" i="1"/>
  <c r="G232" i="1" s="1"/>
  <c r="D235" i="1"/>
  <c r="G235" i="1" s="1"/>
  <c r="D240" i="1"/>
  <c r="G240" i="1" s="1"/>
  <c r="D243" i="1"/>
  <c r="G243" i="1" s="1"/>
  <c r="D248" i="1"/>
  <c r="G248" i="1" s="1"/>
  <c r="D252" i="1"/>
  <c r="G252" i="1" s="1"/>
  <c r="D23" i="1"/>
  <c r="G23" i="1" s="1"/>
  <c r="D59" i="1"/>
  <c r="G59" i="1" s="1"/>
  <c r="D73" i="1"/>
  <c r="G73" i="1" s="1"/>
  <c r="D101" i="1"/>
  <c r="G101" i="1" s="1"/>
  <c r="D115" i="1"/>
  <c r="G115" i="1" s="1"/>
  <c r="D158" i="1"/>
  <c r="G158" i="1" s="1"/>
  <c r="D165" i="1"/>
  <c r="G165" i="1" s="1"/>
  <c r="D172" i="1"/>
  <c r="G172" i="1" s="1"/>
  <c r="D191" i="1"/>
  <c r="G191" i="1" s="1"/>
  <c r="D204" i="1"/>
  <c r="G204" i="1" s="1"/>
  <c r="D218" i="1"/>
  <c r="G218" i="1" s="1"/>
  <c r="D221" i="1"/>
  <c r="G221" i="1" s="1"/>
  <c r="D234" i="1"/>
  <c r="G234" i="1" s="1"/>
  <c r="D237" i="1"/>
  <c r="G237" i="1" s="1"/>
  <c r="D250" i="1"/>
  <c r="G250" i="1" s="1"/>
  <c r="D14" i="1"/>
  <c r="G14" i="1" s="1"/>
  <c r="D22" i="1"/>
  <c r="G22" i="1" s="1"/>
  <c r="D30" i="1"/>
  <c r="G30" i="1" s="1"/>
  <c r="D38" i="1"/>
  <c r="G38" i="1" s="1"/>
  <c r="D46" i="1"/>
  <c r="G46" i="1" s="1"/>
  <c r="D27" i="1"/>
  <c r="G27" i="1" s="1"/>
  <c r="D75" i="1"/>
  <c r="G75" i="1" s="1"/>
  <c r="D103" i="1"/>
  <c r="G103" i="1" s="1"/>
  <c r="D116" i="1"/>
  <c r="G116" i="1" s="1"/>
  <c r="D123" i="1"/>
  <c r="G123" i="1" s="1"/>
  <c r="D166" i="1"/>
  <c r="G166" i="1" s="1"/>
  <c r="D179" i="1"/>
  <c r="G179" i="1" s="1"/>
  <c r="D192" i="1"/>
  <c r="G192" i="1" s="1"/>
  <c r="D211" i="1"/>
  <c r="G211" i="1" s="1"/>
  <c r="D215" i="1"/>
  <c r="G215" i="1" s="1"/>
  <c r="D228" i="1"/>
  <c r="G228" i="1" s="1"/>
  <c r="D231" i="1"/>
  <c r="G231" i="1" s="1"/>
  <c r="D244" i="1"/>
  <c r="G244" i="1" s="1"/>
  <c r="D247" i="1"/>
  <c r="G247" i="1" s="1"/>
  <c r="D49" i="1"/>
  <c r="G49" i="1" s="1"/>
  <c r="D66" i="1"/>
  <c r="G66" i="1" s="1"/>
  <c r="D94" i="1"/>
  <c r="G94" i="1" s="1"/>
  <c r="D106" i="1"/>
  <c r="G106" i="1" s="1"/>
  <c r="D126" i="1"/>
  <c r="G126" i="1" s="1"/>
  <c r="D133" i="1"/>
  <c r="G133" i="1" s="1"/>
  <c r="D140" i="1"/>
  <c r="G140" i="1" s="1"/>
  <c r="D147" i="1"/>
  <c r="G147" i="1" s="1"/>
  <c r="D175" i="1"/>
  <c r="G175" i="1" s="1"/>
  <c r="D188" i="1"/>
  <c r="G188" i="1" s="1"/>
  <c r="D207" i="1"/>
  <c r="G207" i="1" s="1"/>
  <c r="D213" i="1"/>
  <c r="G213" i="1" s="1"/>
  <c r="D226" i="1"/>
  <c r="G226" i="1" s="1"/>
  <c r="D229" i="1"/>
  <c r="G229" i="1" s="1"/>
  <c r="D242" i="1"/>
  <c r="G242" i="1" s="1"/>
  <c r="D245" i="1"/>
  <c r="G245" i="1" s="1"/>
  <c r="D251" i="1"/>
  <c r="G251" i="1" s="1"/>
  <c r="D254" i="1"/>
  <c r="G254" i="1" s="1"/>
  <c r="D52" i="1"/>
  <c r="G52" i="1" s="1"/>
  <c r="D42" i="1"/>
  <c r="G42" i="1" s="1"/>
  <c r="D32" i="1"/>
  <c r="G32" i="1" s="1"/>
  <c r="D20" i="1"/>
  <c r="G20" i="1" s="1"/>
  <c r="D10" i="1"/>
  <c r="G10" i="1" s="1"/>
  <c r="R8" i="1"/>
  <c r="Q8" i="1" s="1"/>
  <c r="B22" i="1"/>
  <c r="E22" i="1" s="1"/>
  <c r="B46" i="1"/>
  <c r="E46" i="1" s="1"/>
  <c r="B60" i="1"/>
  <c r="E60" i="1" s="1"/>
  <c r="B70" i="1"/>
  <c r="E70" i="1" s="1"/>
  <c r="B82" i="1"/>
  <c r="E82" i="1" s="1"/>
  <c r="B92" i="1"/>
  <c r="E92" i="1" s="1"/>
  <c r="B102" i="1"/>
  <c r="E102" i="1" s="1"/>
  <c r="B114" i="1"/>
  <c r="E114" i="1" s="1"/>
  <c r="B124" i="1"/>
  <c r="E124" i="1" s="1"/>
  <c r="B134" i="1"/>
  <c r="E134" i="1" s="1"/>
  <c r="B146" i="1"/>
  <c r="E146" i="1" s="1"/>
  <c r="B162" i="1"/>
  <c r="E162" i="1" s="1"/>
  <c r="B178" i="1"/>
  <c r="E178" i="1" s="1"/>
  <c r="B194" i="1"/>
  <c r="E194" i="1" s="1"/>
  <c r="B210" i="1"/>
  <c r="E210" i="1" s="1"/>
  <c r="B226" i="1"/>
  <c r="B242" i="1"/>
  <c r="B51" i="1"/>
  <c r="E51" i="1" s="1"/>
  <c r="B35" i="1"/>
  <c r="E35" i="1" s="1"/>
  <c r="B19" i="1"/>
  <c r="E19" i="1" s="1"/>
  <c r="R7" i="1"/>
  <c r="Q7" i="1" s="1"/>
  <c r="T7" i="1" s="1"/>
  <c r="W7" i="1" s="1"/>
  <c r="V7" i="1" s="1"/>
  <c r="D239" i="1"/>
  <c r="G239" i="1" s="1"/>
  <c r="B217" i="1"/>
  <c r="D208" i="1"/>
  <c r="G208" i="1" s="1"/>
  <c r="D195" i="1"/>
  <c r="G195" i="1" s="1"/>
  <c r="D155" i="1"/>
  <c r="G155" i="1" s="1"/>
  <c r="D134" i="1"/>
  <c r="G134" i="1" s="1"/>
  <c r="D96" i="1"/>
  <c r="G96" i="1" s="1"/>
  <c r="C11" i="1"/>
  <c r="F11" i="1" s="1"/>
  <c r="C31" i="1"/>
  <c r="F31" i="1" s="1"/>
  <c r="C63" i="1"/>
  <c r="F63" i="1" s="1"/>
  <c r="C70" i="1"/>
  <c r="F70" i="1" s="1"/>
  <c r="C91" i="1"/>
  <c r="F91" i="1" s="1"/>
  <c r="C98" i="1"/>
  <c r="F98" i="1" s="1"/>
  <c r="C108" i="1"/>
  <c r="F108" i="1" s="1"/>
  <c r="C114" i="1"/>
  <c r="F114" i="1" s="1"/>
  <c r="C121" i="1"/>
  <c r="F121" i="1" s="1"/>
  <c r="C128" i="1"/>
  <c r="F128" i="1" s="1"/>
  <c r="C139" i="1"/>
  <c r="F139" i="1" s="1"/>
  <c r="C146" i="1"/>
  <c r="F146" i="1" s="1"/>
  <c r="C153" i="1"/>
  <c r="F153" i="1" s="1"/>
  <c r="C160" i="1"/>
  <c r="F160" i="1" s="1"/>
  <c r="C171" i="1"/>
  <c r="F171" i="1" s="1"/>
  <c r="C174" i="1"/>
  <c r="F174" i="1" s="1"/>
  <c r="C187" i="1"/>
  <c r="F187" i="1" s="1"/>
  <c r="C190" i="1"/>
  <c r="F190" i="1" s="1"/>
  <c r="C203" i="1"/>
  <c r="F203" i="1" s="1"/>
  <c r="C206" i="1"/>
  <c r="F206" i="1" s="1"/>
  <c r="C216" i="1"/>
  <c r="F216" i="1" s="1"/>
  <c r="C221" i="1"/>
  <c r="F221" i="1" s="1"/>
  <c r="C224" i="1"/>
  <c r="F224" i="1" s="1"/>
  <c r="C229" i="1"/>
  <c r="F229" i="1" s="1"/>
  <c r="C232" i="1"/>
  <c r="F232" i="1" s="1"/>
  <c r="C237" i="1"/>
  <c r="F237" i="1" s="1"/>
  <c r="C240" i="1"/>
  <c r="F240" i="1" s="1"/>
  <c r="C245" i="1"/>
  <c r="F245" i="1" s="1"/>
  <c r="C248" i="1"/>
  <c r="F248" i="1" s="1"/>
  <c r="C251" i="1"/>
  <c r="F251" i="1" s="1"/>
  <c r="C252" i="1"/>
  <c r="F252" i="1" s="1"/>
  <c r="C65" i="1"/>
  <c r="F65" i="1" s="1"/>
  <c r="C72" i="1"/>
  <c r="F72" i="1" s="1"/>
  <c r="C79" i="1"/>
  <c r="F79" i="1" s="1"/>
  <c r="C93" i="1"/>
  <c r="F93" i="1" s="1"/>
  <c r="C100" i="1"/>
  <c r="F100" i="1" s="1"/>
  <c r="C106" i="1"/>
  <c r="F106" i="1" s="1"/>
  <c r="C109" i="1"/>
  <c r="F109" i="1" s="1"/>
  <c r="C115" i="1"/>
  <c r="F115" i="1" s="1"/>
  <c r="C122" i="1"/>
  <c r="F122" i="1" s="1"/>
  <c r="C129" i="1"/>
  <c r="F129" i="1" s="1"/>
  <c r="C136" i="1"/>
  <c r="F136" i="1" s="1"/>
  <c r="C147" i="1"/>
  <c r="F147" i="1" s="1"/>
  <c r="C154" i="1"/>
  <c r="F154" i="1" s="1"/>
  <c r="C161" i="1"/>
  <c r="F161" i="1" s="1"/>
  <c r="C168" i="1"/>
  <c r="F168" i="1" s="1"/>
  <c r="C175" i="1"/>
  <c r="F175" i="1" s="1"/>
  <c r="C178" i="1"/>
  <c r="F178" i="1" s="1"/>
  <c r="C191" i="1"/>
  <c r="F191" i="1" s="1"/>
  <c r="C194" i="1"/>
  <c r="F194" i="1" s="1"/>
  <c r="C207" i="1"/>
  <c r="F207" i="1" s="1"/>
  <c r="C210" i="1"/>
  <c r="F210" i="1" s="1"/>
  <c r="C215" i="1"/>
  <c r="F215" i="1" s="1"/>
  <c r="C218" i="1"/>
  <c r="F218" i="1" s="1"/>
  <c r="C223" i="1"/>
  <c r="F223" i="1" s="1"/>
  <c r="C226" i="1"/>
  <c r="F226" i="1" s="1"/>
  <c r="C231" i="1"/>
  <c r="F231" i="1" s="1"/>
  <c r="C234" i="1"/>
  <c r="F234" i="1" s="1"/>
  <c r="C239" i="1"/>
  <c r="F239" i="1" s="1"/>
  <c r="C242" i="1"/>
  <c r="F242" i="1" s="1"/>
  <c r="C247" i="1"/>
  <c r="F247" i="1" s="1"/>
  <c r="C250" i="1"/>
  <c r="F250" i="1" s="1"/>
  <c r="C254" i="1"/>
  <c r="C89" i="1"/>
  <c r="F89" i="1" s="1"/>
  <c r="S9" i="1"/>
  <c r="C137" i="1"/>
  <c r="F137" i="1" s="1"/>
  <c r="C130" i="1"/>
  <c r="F130" i="1" s="1"/>
  <c r="C123" i="1"/>
  <c r="F123" i="1" s="1"/>
  <c r="F54" i="1"/>
  <c r="H30" i="1" a="1"/>
  <c r="H30" i="1" s="1"/>
  <c r="K30" i="1" s="1"/>
  <c r="F22" i="1"/>
  <c r="F254" i="1"/>
  <c r="B20" i="1"/>
  <c r="B52" i="1"/>
  <c r="B65" i="1"/>
  <c r="B73" i="1"/>
  <c r="B93" i="1"/>
  <c r="B101" i="1"/>
  <c r="S5" i="1"/>
  <c r="B69" i="1"/>
  <c r="B79" i="1"/>
  <c r="B97" i="1"/>
  <c r="B115" i="1"/>
  <c r="B123" i="1"/>
  <c r="B131" i="1"/>
  <c r="B139" i="1"/>
  <c r="B147" i="1"/>
  <c r="B155" i="1"/>
  <c r="B163" i="1"/>
  <c r="B171" i="1"/>
  <c r="B175" i="1"/>
  <c r="B179" i="1"/>
  <c r="B183" i="1"/>
  <c r="B187" i="1"/>
  <c r="B191" i="1"/>
  <c r="B195" i="1"/>
  <c r="B199" i="1"/>
  <c r="B203" i="1"/>
  <c r="B207" i="1"/>
  <c r="B211" i="1"/>
  <c r="F4" i="1"/>
  <c r="C7" i="1"/>
  <c r="F7" i="1" s="1"/>
  <c r="C17" i="1"/>
  <c r="C19" i="1"/>
  <c r="C25" i="1"/>
  <c r="C27" i="1"/>
  <c r="C29" i="1"/>
  <c r="C35" i="1"/>
  <c r="C37" i="1"/>
  <c r="C39" i="1"/>
  <c r="C41" i="1"/>
  <c r="C43" i="1"/>
  <c r="C47" i="1"/>
  <c r="C49" i="1"/>
  <c r="C51" i="1"/>
  <c r="C55" i="1"/>
  <c r="F55" i="1" s="1"/>
  <c r="C56" i="1"/>
  <c r="F56" i="1" s="1"/>
  <c r="C57" i="1"/>
  <c r="F57" i="1" s="1"/>
  <c r="C58" i="1"/>
  <c r="C59" i="1"/>
  <c r="F59" i="1" s="1"/>
  <c r="C60" i="1"/>
  <c r="F60" i="1" s="1"/>
  <c r="C61" i="1"/>
  <c r="C66" i="1"/>
  <c r="C67" i="1"/>
  <c r="F67" i="1" s="1"/>
  <c r="C68" i="1"/>
  <c r="F68" i="1" s="1"/>
  <c r="C69" i="1"/>
  <c r="F69" i="1" s="1"/>
  <c r="C74" i="1"/>
  <c r="C75" i="1"/>
  <c r="F75" i="1" s="1"/>
  <c r="C76" i="1"/>
  <c r="C77" i="1"/>
  <c r="C84" i="1"/>
  <c r="C85" i="1"/>
  <c r="F85" i="1" s="1"/>
  <c r="C86" i="1"/>
  <c r="C87" i="1"/>
  <c r="C94" i="1"/>
  <c r="C95" i="1"/>
  <c r="F95" i="1" s="1"/>
  <c r="C96" i="1"/>
  <c r="C97" i="1"/>
  <c r="F97" i="1" s="1"/>
  <c r="C102" i="1"/>
  <c r="C103" i="1"/>
  <c r="F103" i="1" s="1"/>
  <c r="C104" i="1"/>
  <c r="C105" i="1"/>
  <c r="C33" i="1"/>
  <c r="C45" i="1"/>
  <c r="C62" i="1"/>
  <c r="C64" i="1"/>
  <c r="F64" i="1" s="1"/>
  <c r="C71" i="1"/>
  <c r="F71" i="1" s="1"/>
  <c r="C73" i="1"/>
  <c r="F73" i="1" s="1"/>
  <c r="C78" i="1"/>
  <c r="C81" i="1"/>
  <c r="F81" i="1" s="1"/>
  <c r="C83" i="1"/>
  <c r="F83" i="1" s="1"/>
  <c r="C88" i="1"/>
  <c r="C90" i="1"/>
  <c r="C92" i="1"/>
  <c r="C99" i="1"/>
  <c r="F99" i="1" s="1"/>
  <c r="C101" i="1"/>
  <c r="F101" i="1" s="1"/>
  <c r="C107" i="1"/>
  <c r="C111" i="1"/>
  <c r="C116" i="1"/>
  <c r="C117" i="1"/>
  <c r="F117" i="1" s="1"/>
  <c r="C118" i="1"/>
  <c r="C119" i="1"/>
  <c r="C124" i="1"/>
  <c r="C125" i="1"/>
  <c r="F125" i="1" s="1"/>
  <c r="C126" i="1"/>
  <c r="C127" i="1"/>
  <c r="C132" i="1"/>
  <c r="C133" i="1"/>
  <c r="F133" i="1" s="1"/>
  <c r="C134" i="1"/>
  <c r="C135" i="1"/>
  <c r="C140" i="1"/>
  <c r="C141" i="1"/>
  <c r="F141" i="1" s="1"/>
  <c r="C142" i="1"/>
  <c r="C143" i="1"/>
  <c r="C148" i="1"/>
  <c r="C149" i="1"/>
  <c r="F149" i="1" s="1"/>
  <c r="C150" i="1"/>
  <c r="C151" i="1"/>
  <c r="C156" i="1"/>
  <c r="C157" i="1"/>
  <c r="F157" i="1" s="1"/>
  <c r="C158" i="1"/>
  <c r="C159" i="1"/>
  <c r="C164" i="1"/>
  <c r="C165" i="1"/>
  <c r="F165" i="1" s="1"/>
  <c r="C166" i="1"/>
  <c r="C167" i="1"/>
  <c r="C172" i="1"/>
  <c r="C173" i="1"/>
  <c r="C176" i="1"/>
  <c r="C177" i="1"/>
  <c r="C180" i="1"/>
  <c r="C181" i="1"/>
  <c r="C184" i="1"/>
  <c r="C185" i="1"/>
  <c r="C188" i="1"/>
  <c r="C189" i="1"/>
  <c r="C192" i="1"/>
  <c r="C193" i="1"/>
  <c r="C196" i="1"/>
  <c r="C197" i="1"/>
  <c r="C200" i="1"/>
  <c r="C201" i="1"/>
  <c r="C204" i="1"/>
  <c r="C205" i="1"/>
  <c r="C208" i="1"/>
  <c r="C209" i="1"/>
  <c r="C212" i="1"/>
  <c r="C213" i="1"/>
  <c r="U5" i="1"/>
  <c r="D13" i="1"/>
  <c r="G13" i="1" s="1"/>
  <c r="D21" i="1"/>
  <c r="G21" i="1" s="1"/>
  <c r="D31" i="1"/>
  <c r="G31" i="1" s="1"/>
  <c r="D33" i="1"/>
  <c r="G33" i="1" s="1"/>
  <c r="D41" i="1"/>
  <c r="G41" i="1" s="1"/>
  <c r="D43" i="1"/>
  <c r="G43" i="1" s="1"/>
  <c r="D45" i="1"/>
  <c r="G45" i="1" s="1"/>
  <c r="D53" i="1"/>
  <c r="D61" i="1"/>
  <c r="G61" i="1" s="1"/>
  <c r="D62" i="1"/>
  <c r="G62" i="1" s="1"/>
  <c r="D63" i="1"/>
  <c r="G63" i="1" s="1"/>
  <c r="D64" i="1"/>
  <c r="G64" i="1" s="1"/>
  <c r="D69" i="1"/>
  <c r="G69" i="1" s="1"/>
  <c r="D70" i="1"/>
  <c r="D71" i="1"/>
  <c r="G71" i="1" s="1"/>
  <c r="D72" i="1"/>
  <c r="G72" i="1" s="1"/>
  <c r="D77" i="1"/>
  <c r="G77" i="1" s="1"/>
  <c r="D78" i="1"/>
  <c r="G78" i="1" s="1"/>
  <c r="D79" i="1"/>
  <c r="G79" i="1" s="1"/>
  <c r="D80" i="1"/>
  <c r="D81" i="1"/>
  <c r="G81" i="1" s="1"/>
  <c r="D82" i="1"/>
  <c r="D87" i="1"/>
  <c r="G87" i="1" s="1"/>
  <c r="D88" i="1"/>
  <c r="G88" i="1" s="1"/>
  <c r="D89" i="1"/>
  <c r="G89" i="1" s="1"/>
  <c r="D90" i="1"/>
  <c r="G90" i="1" s="1"/>
  <c r="D91" i="1"/>
  <c r="G91" i="1" s="1"/>
  <c r="D92" i="1"/>
  <c r="G92" i="1" s="1"/>
  <c r="D97" i="1"/>
  <c r="G97" i="1" s="1"/>
  <c r="D98" i="1"/>
  <c r="D99" i="1"/>
  <c r="G99" i="1" s="1"/>
  <c r="D100" i="1"/>
  <c r="D15" i="1"/>
  <c r="G15" i="1" s="1"/>
  <c r="D19" i="1"/>
  <c r="G19" i="1" s="1"/>
  <c r="D25" i="1"/>
  <c r="G25" i="1" s="1"/>
  <c r="D29" i="1"/>
  <c r="G29" i="1" s="1"/>
  <c r="D35" i="1"/>
  <c r="G35" i="1" s="1"/>
  <c r="D39" i="1"/>
  <c r="G39" i="1" s="1"/>
  <c r="D47" i="1"/>
  <c r="G47" i="1" s="1"/>
  <c r="D51" i="1"/>
  <c r="G51" i="1" s="1"/>
  <c r="D54" i="1"/>
  <c r="G54" i="1" s="1"/>
  <c r="D56" i="1"/>
  <c r="G56" i="1" s="1"/>
  <c r="D58" i="1"/>
  <c r="G58" i="1" s="1"/>
  <c r="D60" i="1"/>
  <c r="G60" i="1" s="1"/>
  <c r="D65" i="1"/>
  <c r="G65" i="1" s="1"/>
  <c r="D67" i="1"/>
  <c r="G67" i="1" s="1"/>
  <c r="D74" i="1"/>
  <c r="G74" i="1" s="1"/>
  <c r="D76" i="1"/>
  <c r="G76" i="1" s="1"/>
  <c r="D84" i="1"/>
  <c r="G84" i="1" s="1"/>
  <c r="D86" i="1"/>
  <c r="G86" i="1" s="1"/>
  <c r="D93" i="1"/>
  <c r="G93" i="1" s="1"/>
  <c r="D95" i="1"/>
  <c r="G95" i="1" s="1"/>
  <c r="D102" i="1"/>
  <c r="G102" i="1" s="1"/>
  <c r="D104" i="1"/>
  <c r="G104" i="1" s="1"/>
  <c r="D105" i="1"/>
  <c r="G105" i="1" s="1"/>
  <c r="D107" i="1"/>
  <c r="G107" i="1" s="1"/>
  <c r="D108" i="1"/>
  <c r="D109" i="1"/>
  <c r="D111" i="1"/>
  <c r="G111" i="1" s="1"/>
  <c r="D112" i="1"/>
  <c r="D113" i="1"/>
  <c r="G113" i="1" s="1"/>
  <c r="D114" i="1"/>
  <c r="D119" i="1"/>
  <c r="G119" i="1" s="1"/>
  <c r="D120" i="1"/>
  <c r="D121" i="1"/>
  <c r="G121" i="1" s="1"/>
  <c r="D122" i="1"/>
  <c r="D127" i="1"/>
  <c r="G127" i="1" s="1"/>
  <c r="D128" i="1"/>
  <c r="D129" i="1"/>
  <c r="G129" i="1" s="1"/>
  <c r="D130" i="1"/>
  <c r="D135" i="1"/>
  <c r="G135" i="1" s="1"/>
  <c r="D136" i="1"/>
  <c r="D137" i="1"/>
  <c r="G137" i="1" s="1"/>
  <c r="D138" i="1"/>
  <c r="D143" i="1"/>
  <c r="G143" i="1" s="1"/>
  <c r="D144" i="1"/>
  <c r="D145" i="1"/>
  <c r="G145" i="1" s="1"/>
  <c r="D146" i="1"/>
  <c r="D151" i="1"/>
  <c r="G151" i="1" s="1"/>
  <c r="D152" i="1"/>
  <c r="D153" i="1"/>
  <c r="G153" i="1" s="1"/>
  <c r="D154" i="1"/>
  <c r="D159" i="1"/>
  <c r="G159" i="1" s="1"/>
  <c r="D160" i="1"/>
  <c r="D161" i="1"/>
  <c r="G161" i="1" s="1"/>
  <c r="D162" i="1"/>
  <c r="D167" i="1"/>
  <c r="G167" i="1" s="1"/>
  <c r="D168" i="1"/>
  <c r="D169" i="1"/>
  <c r="G169" i="1" s="1"/>
  <c r="D170" i="1"/>
  <c r="D173" i="1"/>
  <c r="G173" i="1" s="1"/>
  <c r="D174" i="1"/>
  <c r="D177" i="1"/>
  <c r="G177" i="1" s="1"/>
  <c r="D178" i="1"/>
  <c r="D181" i="1"/>
  <c r="G181" i="1" s="1"/>
  <c r="D182" i="1"/>
  <c r="D185" i="1"/>
  <c r="G185" i="1" s="1"/>
  <c r="D186" i="1"/>
  <c r="D189" i="1"/>
  <c r="G189" i="1" s="1"/>
  <c r="D190" i="1"/>
  <c r="D193" i="1"/>
  <c r="G193" i="1" s="1"/>
  <c r="D194" i="1"/>
  <c r="D197" i="1"/>
  <c r="G197" i="1" s="1"/>
  <c r="D198" i="1"/>
  <c r="D201" i="1"/>
  <c r="G201" i="1" s="1"/>
  <c r="D202" i="1"/>
  <c r="D205" i="1"/>
  <c r="G205" i="1" s="1"/>
  <c r="D206" i="1"/>
  <c r="D209" i="1"/>
  <c r="G209" i="1" s="1"/>
  <c r="D210" i="1"/>
  <c r="C23" i="1"/>
  <c r="F23" i="1" s="1"/>
  <c r="C9" i="1"/>
  <c r="F9" i="1" s="1"/>
  <c r="D7" i="1"/>
  <c r="G7" i="1" s="1"/>
  <c r="B57" i="1"/>
  <c r="B44" i="1"/>
  <c r="B40" i="1"/>
  <c r="B28" i="1"/>
  <c r="B169" i="1"/>
  <c r="B165" i="1"/>
  <c r="B161" i="1"/>
  <c r="B157" i="1"/>
  <c r="B153" i="1"/>
  <c r="B149" i="1"/>
  <c r="B145" i="1"/>
  <c r="B141" i="1"/>
  <c r="B137" i="1"/>
  <c r="B133" i="1"/>
  <c r="B129" i="1"/>
  <c r="B125" i="1"/>
  <c r="B121" i="1"/>
  <c r="B117" i="1"/>
  <c r="B113" i="1"/>
  <c r="B103" i="1"/>
  <c r="B99" i="1"/>
  <c r="B95" i="1"/>
  <c r="B91" i="1"/>
  <c r="B89" i="1"/>
  <c r="B85" i="1"/>
  <c r="B83" i="1"/>
  <c r="B81" i="1"/>
  <c r="B75" i="1"/>
  <c r="B71" i="1"/>
  <c r="B67" i="1"/>
  <c r="B63" i="1"/>
  <c r="B59" i="1"/>
  <c r="B55" i="1"/>
  <c r="B48" i="1"/>
  <c r="B36" i="1"/>
  <c r="B32" i="1"/>
  <c r="B16" i="1"/>
  <c r="E16" i="1" s="1"/>
  <c r="B24" i="1"/>
  <c r="C21" i="1"/>
  <c r="B12" i="1"/>
  <c r="C13" i="1"/>
  <c r="F13" i="1" s="1"/>
  <c r="C15" i="1"/>
  <c r="D11" i="1"/>
  <c r="D9" i="1"/>
  <c r="R14" i="1"/>
  <c r="T9" i="1"/>
  <c r="B8" i="1"/>
  <c r="H26" i="1" l="1" a="1"/>
  <c r="H26" i="1" s="1"/>
  <c r="K26" i="1" s="1"/>
  <c r="H254" i="1" a="1"/>
  <c r="H254" i="1" s="1"/>
  <c r="K254" i="1" s="1"/>
  <c r="S10" i="1"/>
  <c r="W10" i="1" s="1"/>
  <c r="V10" i="1" s="1"/>
  <c r="H18" i="1" a="1"/>
  <c r="H18" i="1" s="1"/>
  <c r="K18" i="1" s="1"/>
  <c r="R13" i="1"/>
  <c r="U13" i="1" s="1"/>
  <c r="H250" i="1" a="1"/>
  <c r="H250" i="1" s="1"/>
  <c r="K250" i="1" s="1"/>
  <c r="H233" i="1" a="1"/>
  <c r="H233" i="1" s="1"/>
  <c r="K233" i="1" s="1"/>
  <c r="H42" i="1" a="1"/>
  <c r="H42" i="1" s="1"/>
  <c r="K42" i="1" s="1"/>
  <c r="U11" i="1"/>
  <c r="W11" i="1" s="1"/>
  <c r="V11" i="1" s="1"/>
  <c r="H34" i="1" a="1"/>
  <c r="H34" i="1" s="1"/>
  <c r="K34" i="1" s="1"/>
  <c r="H23" i="1" a="1"/>
  <c r="H23" i="1" s="1"/>
  <c r="K23" i="1" s="1"/>
  <c r="H38" i="1" a="1"/>
  <c r="H38" i="1" s="1"/>
  <c r="K38" i="1" s="1"/>
  <c r="H22" i="1" a="1"/>
  <c r="H22" i="1" s="1"/>
  <c r="K22" i="1" s="1"/>
  <c r="H16" i="1" a="1"/>
  <c r="H16" i="1" s="1"/>
  <c r="K16" i="1" s="1"/>
  <c r="H251" i="1" a="1"/>
  <c r="H251" i="1" s="1"/>
  <c r="K251" i="1" s="1"/>
  <c r="H50" i="1" a="1"/>
  <c r="H50" i="1" s="1"/>
  <c r="K50" i="1" s="1"/>
  <c r="H6" i="1" a="1"/>
  <c r="H6" i="1" s="1"/>
  <c r="K6" i="1" s="1"/>
  <c r="W5" i="1"/>
  <c r="V5" i="1" s="1"/>
  <c r="H10" i="1" a="1"/>
  <c r="H10" i="1" s="1"/>
  <c r="K10" i="1" s="1"/>
  <c r="E242" i="1"/>
  <c r="H242" i="1" a="1"/>
  <c r="H242" i="1" s="1"/>
  <c r="K242" i="1" s="1"/>
  <c r="H238" i="1" a="1"/>
  <c r="H238" i="1" s="1"/>
  <c r="K238" i="1" s="1"/>
  <c r="E238" i="1"/>
  <c r="E225" i="1"/>
  <c r="H225" i="1" a="1"/>
  <c r="H225" i="1" s="1"/>
  <c r="K225" i="1" s="1"/>
  <c r="E226" i="1"/>
  <c r="H226" i="1" a="1"/>
  <c r="H226" i="1" s="1"/>
  <c r="K226" i="1" s="1"/>
  <c r="U8" i="1"/>
  <c r="W8" i="1" s="1"/>
  <c r="V8" i="1" s="1"/>
  <c r="H252" i="1" a="1"/>
  <c r="H252" i="1" s="1"/>
  <c r="K252" i="1" s="1"/>
  <c r="E252" i="1"/>
  <c r="E218" i="1"/>
  <c r="H218" i="1" a="1"/>
  <c r="H218" i="1" s="1"/>
  <c r="K218" i="1" s="1"/>
  <c r="H239" i="1" a="1"/>
  <c r="H239" i="1" s="1"/>
  <c r="K239" i="1" s="1"/>
  <c r="E239" i="1"/>
  <c r="E214" i="1"/>
  <c r="H214" i="1" a="1"/>
  <c r="H214" i="1" s="1"/>
  <c r="K214" i="1" s="1"/>
  <c r="H246" i="1" a="1"/>
  <c r="H246" i="1" s="1"/>
  <c r="K246" i="1" s="1"/>
  <c r="E246" i="1"/>
  <c r="E224" i="1"/>
  <c r="H224" i="1" a="1"/>
  <c r="H224" i="1" s="1"/>
  <c r="K224" i="1" s="1"/>
  <c r="H231" i="1" a="1"/>
  <c r="H231" i="1" s="1"/>
  <c r="K231" i="1" s="1"/>
  <c r="E231" i="1"/>
  <c r="H237" i="1" a="1"/>
  <c r="H237" i="1" s="1"/>
  <c r="K237" i="1" s="1"/>
  <c r="E237" i="1"/>
  <c r="E219" i="1"/>
  <c r="H219" i="1" a="1"/>
  <c r="H219" i="1" s="1"/>
  <c r="K219" i="1" s="1"/>
  <c r="E216" i="1"/>
  <c r="H216" i="1" a="1"/>
  <c r="H216" i="1" s="1"/>
  <c r="K216" i="1" s="1"/>
  <c r="H248" i="1" a="1"/>
  <c r="H248" i="1" s="1"/>
  <c r="K248" i="1" s="1"/>
  <c r="E248" i="1"/>
  <c r="H245" i="1" a="1"/>
  <c r="H245" i="1" s="1"/>
  <c r="K245" i="1" s="1"/>
  <c r="E245" i="1"/>
  <c r="E227" i="1"/>
  <c r="H227" i="1" a="1"/>
  <c r="H227" i="1" s="1"/>
  <c r="K227" i="1" s="1"/>
  <c r="W9" i="1"/>
  <c r="V9" i="1" s="1"/>
  <c r="U14" i="1"/>
  <c r="W14" i="1" s="1"/>
  <c r="V14" i="1" s="1"/>
  <c r="H247" i="1" a="1"/>
  <c r="H247" i="1" s="1"/>
  <c r="K247" i="1" s="1"/>
  <c r="H72" i="1" a="1"/>
  <c r="H72" i="1" s="1"/>
  <c r="K72" i="1" s="1"/>
  <c r="H14" i="1" a="1"/>
  <c r="H14" i="1" s="1"/>
  <c r="K14" i="1" s="1"/>
  <c r="H46" i="1" a="1"/>
  <c r="H46" i="1" s="1"/>
  <c r="K46" i="1" s="1"/>
  <c r="E217" i="1"/>
  <c r="H217" i="1" a="1"/>
  <c r="H217" i="1" s="1"/>
  <c r="K217" i="1" s="1"/>
  <c r="H236" i="1" a="1"/>
  <c r="H236" i="1" s="1"/>
  <c r="K236" i="1" s="1"/>
  <c r="E236" i="1"/>
  <c r="H223" i="1" a="1"/>
  <c r="H223" i="1" s="1"/>
  <c r="K223" i="1" s="1"/>
  <c r="E223" i="1"/>
  <c r="E222" i="1"/>
  <c r="H222" i="1" a="1"/>
  <c r="H222" i="1" s="1"/>
  <c r="K222" i="1" s="1"/>
  <c r="E253" i="1"/>
  <c r="H253" i="1" a="1"/>
  <c r="H253" i="1" s="1"/>
  <c r="K253" i="1" s="1"/>
  <c r="E232" i="1"/>
  <c r="H232" i="1" a="1"/>
  <c r="H232" i="1" s="1"/>
  <c r="K232" i="1" s="1"/>
  <c r="H215" i="1" a="1"/>
  <c r="H215" i="1" s="1"/>
  <c r="K215" i="1" s="1"/>
  <c r="E215" i="1"/>
  <c r="H229" i="1" a="1"/>
  <c r="H229" i="1" s="1"/>
  <c r="K229" i="1" s="1"/>
  <c r="E229" i="1"/>
  <c r="E243" i="1"/>
  <c r="H243" i="1" a="1"/>
  <c r="H243" i="1" s="1"/>
  <c r="K243" i="1" s="1"/>
  <c r="H244" i="1" a="1"/>
  <c r="H244" i="1" s="1"/>
  <c r="K244" i="1" s="1"/>
  <c r="H106" i="1" a="1"/>
  <c r="H106" i="1" s="1"/>
  <c r="K106" i="1" s="1"/>
  <c r="E234" i="1"/>
  <c r="H234" i="1" a="1"/>
  <c r="H234" i="1" s="1"/>
  <c r="K234" i="1" s="1"/>
  <c r="H13" i="1" a="1"/>
  <c r="H13" i="1" s="1"/>
  <c r="K13" i="1" s="1"/>
  <c r="H56" i="1" a="1"/>
  <c r="H56" i="1" s="1"/>
  <c r="K56" i="1" s="1"/>
  <c r="H220" i="1" a="1"/>
  <c r="H220" i="1" s="1"/>
  <c r="K220" i="1" s="1"/>
  <c r="E220" i="1"/>
  <c r="H110" i="1" a="1"/>
  <c r="H110" i="1" s="1"/>
  <c r="K110" i="1" s="1"/>
  <c r="E110" i="1"/>
  <c r="E249" i="1"/>
  <c r="H249" i="1" a="1"/>
  <c r="H249" i="1" s="1"/>
  <c r="K249" i="1" s="1"/>
  <c r="E230" i="1"/>
  <c r="H230" i="1" a="1"/>
  <c r="H230" i="1" s="1"/>
  <c r="K230" i="1" s="1"/>
  <c r="E241" i="1"/>
  <c r="H241" i="1" a="1"/>
  <c r="H241" i="1" s="1"/>
  <c r="K241" i="1" s="1"/>
  <c r="E240" i="1"/>
  <c r="H240" i="1" a="1"/>
  <c r="H240" i="1" s="1"/>
  <c r="K240" i="1" s="1"/>
  <c r="H221" i="1" a="1"/>
  <c r="H221" i="1" s="1"/>
  <c r="K221" i="1" s="1"/>
  <c r="E221" i="1"/>
  <c r="E235" i="1"/>
  <c r="H235" i="1" a="1"/>
  <c r="H235" i="1" s="1"/>
  <c r="K235" i="1" s="1"/>
  <c r="H228" i="1" a="1"/>
  <c r="H228" i="1" s="1"/>
  <c r="K228" i="1" s="1"/>
  <c r="G108" i="1"/>
  <c r="H108" i="1" a="1"/>
  <c r="H108" i="1" s="1"/>
  <c r="K108" i="1" s="1"/>
  <c r="F213" i="1"/>
  <c r="H213" i="1" a="1"/>
  <c r="H213" i="1" s="1"/>
  <c r="K213" i="1" s="1"/>
  <c r="F205" i="1"/>
  <c r="H205" i="1" a="1"/>
  <c r="H205" i="1" s="1"/>
  <c r="K205" i="1" s="1"/>
  <c r="F193" i="1"/>
  <c r="H193" i="1" a="1"/>
  <c r="H193" i="1" s="1"/>
  <c r="K193" i="1" s="1"/>
  <c r="F185" i="1"/>
  <c r="H185" i="1" a="1"/>
  <c r="H185" i="1" s="1"/>
  <c r="K185" i="1" s="1"/>
  <c r="F177" i="1"/>
  <c r="H177" i="1" a="1"/>
  <c r="H177" i="1" s="1"/>
  <c r="K177" i="1" s="1"/>
  <c r="F159" i="1"/>
  <c r="H159" i="1" a="1"/>
  <c r="H159" i="1" s="1"/>
  <c r="K159" i="1" s="1"/>
  <c r="F143" i="1"/>
  <c r="H143" i="1" a="1"/>
  <c r="H143" i="1" s="1"/>
  <c r="K143" i="1" s="1"/>
  <c r="F119" i="1"/>
  <c r="H119" i="1" a="1"/>
  <c r="H119" i="1" s="1"/>
  <c r="K119" i="1" s="1"/>
  <c r="F111" i="1"/>
  <c r="H111" i="1" a="1"/>
  <c r="H111" i="1" s="1"/>
  <c r="K111" i="1" s="1"/>
  <c r="F92" i="1"/>
  <c r="H92" i="1" a="1"/>
  <c r="H92" i="1" s="1"/>
  <c r="K92" i="1" s="1"/>
  <c r="F105" i="1"/>
  <c r="H105" i="1" a="1"/>
  <c r="H105" i="1" s="1"/>
  <c r="K105" i="1" s="1"/>
  <c r="F87" i="1"/>
  <c r="H87" i="1" a="1"/>
  <c r="H87" i="1" s="1"/>
  <c r="K87" i="1" s="1"/>
  <c r="F61" i="1"/>
  <c r="H61" i="1" a="1"/>
  <c r="H61" i="1" s="1"/>
  <c r="K61" i="1" s="1"/>
  <c r="F49" i="1"/>
  <c r="H49" i="1" a="1"/>
  <c r="H49" i="1" s="1"/>
  <c r="K49" i="1" s="1"/>
  <c r="F39" i="1"/>
  <c r="H39" i="1" a="1"/>
  <c r="H39" i="1" s="1"/>
  <c r="K39" i="1" s="1"/>
  <c r="F27" i="1"/>
  <c r="H27" i="1" a="1"/>
  <c r="H27" i="1" s="1"/>
  <c r="K27" i="1" s="1"/>
  <c r="F19" i="1"/>
  <c r="H19" i="1" a="1"/>
  <c r="H19" i="1" s="1"/>
  <c r="K19" i="1" s="1"/>
  <c r="H203" i="1" a="1"/>
  <c r="H203" i="1" s="1"/>
  <c r="K203" i="1" s="1"/>
  <c r="E203" i="1"/>
  <c r="H179" i="1" a="1"/>
  <c r="H179" i="1" s="1"/>
  <c r="K179" i="1" s="1"/>
  <c r="E179" i="1"/>
  <c r="H155" i="1" a="1"/>
  <c r="H155" i="1" s="1"/>
  <c r="K155" i="1" s="1"/>
  <c r="E155" i="1"/>
  <c r="H123" i="1" a="1"/>
  <c r="H123" i="1" s="1"/>
  <c r="K123" i="1" s="1"/>
  <c r="E123" i="1"/>
  <c r="H69" i="1" a="1"/>
  <c r="H69" i="1" s="1"/>
  <c r="K69" i="1" s="1"/>
  <c r="E69" i="1"/>
  <c r="E73" i="1"/>
  <c r="H73" i="1" a="1"/>
  <c r="H73" i="1" s="1"/>
  <c r="K73" i="1" s="1"/>
  <c r="H54" i="1" a="1"/>
  <c r="H54" i="1" s="1"/>
  <c r="K54" i="1" s="1"/>
  <c r="F209" i="1"/>
  <c r="H209" i="1" a="1"/>
  <c r="H209" i="1" s="1"/>
  <c r="K209" i="1" s="1"/>
  <c r="F201" i="1"/>
  <c r="H201" i="1" a="1"/>
  <c r="H201" i="1" s="1"/>
  <c r="K201" i="1" s="1"/>
  <c r="F197" i="1"/>
  <c r="H197" i="1" a="1"/>
  <c r="H197" i="1" s="1"/>
  <c r="K197" i="1" s="1"/>
  <c r="F189" i="1"/>
  <c r="H189" i="1" a="1"/>
  <c r="H189" i="1" s="1"/>
  <c r="K189" i="1" s="1"/>
  <c r="F181" i="1"/>
  <c r="H181" i="1" a="1"/>
  <c r="H181" i="1" s="1"/>
  <c r="K181" i="1" s="1"/>
  <c r="F173" i="1"/>
  <c r="H173" i="1" a="1"/>
  <c r="H173" i="1" s="1"/>
  <c r="K173" i="1" s="1"/>
  <c r="F167" i="1"/>
  <c r="H167" i="1" a="1"/>
  <c r="H167" i="1" s="1"/>
  <c r="K167" i="1" s="1"/>
  <c r="F151" i="1"/>
  <c r="H151" i="1" a="1"/>
  <c r="H151" i="1" s="1"/>
  <c r="K151" i="1" s="1"/>
  <c r="F135" i="1"/>
  <c r="H135" i="1" a="1"/>
  <c r="H135" i="1" s="1"/>
  <c r="K135" i="1" s="1"/>
  <c r="F127" i="1"/>
  <c r="H127" i="1" a="1"/>
  <c r="H127" i="1" s="1"/>
  <c r="K127" i="1" s="1"/>
  <c r="F88" i="1"/>
  <c r="H88" i="1" a="1"/>
  <c r="H88" i="1" s="1"/>
  <c r="K88" i="1" s="1"/>
  <c r="F45" i="1"/>
  <c r="H45" i="1" a="1"/>
  <c r="H45" i="1" s="1"/>
  <c r="K45" i="1" s="1"/>
  <c r="F77" i="1"/>
  <c r="H77" i="1" a="1"/>
  <c r="H77" i="1" s="1"/>
  <c r="K77" i="1" s="1"/>
  <c r="H43" i="1" a="1"/>
  <c r="H43" i="1" s="1"/>
  <c r="K43" i="1" s="1"/>
  <c r="F43" i="1"/>
  <c r="F35" i="1"/>
  <c r="H35" i="1" a="1"/>
  <c r="H35" i="1" s="1"/>
  <c r="K35" i="1" s="1"/>
  <c r="H211" i="1" a="1"/>
  <c r="H211" i="1" s="1"/>
  <c r="K211" i="1" s="1"/>
  <c r="E211" i="1"/>
  <c r="H195" i="1" a="1"/>
  <c r="H195" i="1" s="1"/>
  <c r="K195" i="1" s="1"/>
  <c r="E195" i="1"/>
  <c r="H187" i="1" a="1"/>
  <c r="H187" i="1" s="1"/>
  <c r="K187" i="1" s="1"/>
  <c r="E187" i="1"/>
  <c r="H171" i="1" a="1"/>
  <c r="H171" i="1" s="1"/>
  <c r="K171" i="1" s="1"/>
  <c r="E171" i="1"/>
  <c r="H139" i="1" a="1"/>
  <c r="H139" i="1" s="1"/>
  <c r="K139" i="1" s="1"/>
  <c r="E139" i="1"/>
  <c r="H97" i="1" a="1"/>
  <c r="H97" i="1" s="1"/>
  <c r="K97" i="1" s="1"/>
  <c r="E97" i="1"/>
  <c r="E101" i="1"/>
  <c r="H101" i="1" a="1"/>
  <c r="H101" i="1" s="1"/>
  <c r="K101" i="1" s="1"/>
  <c r="E52" i="1"/>
  <c r="H52" i="1" a="1"/>
  <c r="H52" i="1" s="1"/>
  <c r="K52" i="1" s="1"/>
  <c r="H31" i="1" a="1"/>
  <c r="H31" i="1" s="1"/>
  <c r="K31" i="1" s="1"/>
  <c r="H64" i="1" a="1"/>
  <c r="H64" i="1" s="1"/>
  <c r="K64" i="1" s="1"/>
  <c r="T14" i="1"/>
  <c r="H7" i="1" a="1"/>
  <c r="H7" i="1" s="1"/>
  <c r="K7" i="1" s="1"/>
  <c r="H210" i="1" a="1"/>
  <c r="H210" i="1" s="1"/>
  <c r="K210" i="1" s="1"/>
  <c r="G210" i="1"/>
  <c r="H206" i="1" a="1"/>
  <c r="H206" i="1" s="1"/>
  <c r="K206" i="1" s="1"/>
  <c r="G206" i="1"/>
  <c r="G202" i="1"/>
  <c r="H202" i="1" a="1"/>
  <c r="H202" i="1" s="1"/>
  <c r="K202" i="1" s="1"/>
  <c r="G198" i="1"/>
  <c r="H198" i="1" a="1"/>
  <c r="H198" i="1" s="1"/>
  <c r="K198" i="1" s="1"/>
  <c r="H194" i="1" a="1"/>
  <c r="H194" i="1" s="1"/>
  <c r="K194" i="1" s="1"/>
  <c r="G194" i="1"/>
  <c r="H190" i="1" a="1"/>
  <c r="H190" i="1" s="1"/>
  <c r="K190" i="1" s="1"/>
  <c r="G190" i="1"/>
  <c r="G186" i="1"/>
  <c r="H186" i="1" a="1"/>
  <c r="H186" i="1" s="1"/>
  <c r="K186" i="1" s="1"/>
  <c r="G182" i="1"/>
  <c r="H182" i="1" a="1"/>
  <c r="H182" i="1" s="1"/>
  <c r="K182" i="1" s="1"/>
  <c r="H178" i="1" a="1"/>
  <c r="H178" i="1" s="1"/>
  <c r="K178" i="1" s="1"/>
  <c r="G178" i="1"/>
  <c r="H174" i="1" a="1"/>
  <c r="H174" i="1" s="1"/>
  <c r="K174" i="1" s="1"/>
  <c r="G174" i="1"/>
  <c r="G170" i="1"/>
  <c r="H170" i="1" a="1"/>
  <c r="H170" i="1" s="1"/>
  <c r="K170" i="1" s="1"/>
  <c r="G168" i="1"/>
  <c r="H168" i="1" a="1"/>
  <c r="H168" i="1" s="1"/>
  <c r="K168" i="1" s="1"/>
  <c r="G162" i="1"/>
  <c r="H162" i="1" a="1"/>
  <c r="H162" i="1" s="1"/>
  <c r="K162" i="1" s="1"/>
  <c r="G160" i="1"/>
  <c r="H160" i="1" a="1"/>
  <c r="H160" i="1" s="1"/>
  <c r="K160" i="1" s="1"/>
  <c r="G154" i="1"/>
  <c r="H154" i="1" a="1"/>
  <c r="H154" i="1" s="1"/>
  <c r="K154" i="1" s="1"/>
  <c r="G152" i="1"/>
  <c r="H152" i="1" a="1"/>
  <c r="H152" i="1" s="1"/>
  <c r="K152" i="1" s="1"/>
  <c r="G146" i="1"/>
  <c r="H146" i="1" a="1"/>
  <c r="H146" i="1" s="1"/>
  <c r="K146" i="1" s="1"/>
  <c r="G144" i="1"/>
  <c r="H144" i="1" a="1"/>
  <c r="H144" i="1" s="1"/>
  <c r="K144" i="1" s="1"/>
  <c r="G138" i="1"/>
  <c r="H138" i="1" a="1"/>
  <c r="H138" i="1" s="1"/>
  <c r="K138" i="1" s="1"/>
  <c r="G136" i="1"/>
  <c r="H136" i="1" a="1"/>
  <c r="H136" i="1" s="1"/>
  <c r="K136" i="1" s="1"/>
  <c r="G130" i="1"/>
  <c r="H130" i="1" a="1"/>
  <c r="H130" i="1" s="1"/>
  <c r="K130" i="1" s="1"/>
  <c r="G128" i="1"/>
  <c r="H128" i="1" a="1"/>
  <c r="H128" i="1" s="1"/>
  <c r="K128" i="1" s="1"/>
  <c r="G122" i="1"/>
  <c r="H122" i="1" a="1"/>
  <c r="H122" i="1" s="1"/>
  <c r="K122" i="1" s="1"/>
  <c r="G120" i="1"/>
  <c r="H120" i="1" a="1"/>
  <c r="H120" i="1" s="1"/>
  <c r="K120" i="1" s="1"/>
  <c r="G114" i="1"/>
  <c r="H114" i="1" a="1"/>
  <c r="H114" i="1" s="1"/>
  <c r="K114" i="1" s="1"/>
  <c r="G112" i="1"/>
  <c r="H112" i="1" a="1"/>
  <c r="H112" i="1" s="1"/>
  <c r="K112" i="1" s="1"/>
  <c r="G109" i="1"/>
  <c r="H109" i="1" a="1"/>
  <c r="H109" i="1" s="1"/>
  <c r="K109" i="1" s="1"/>
  <c r="G100" i="1"/>
  <c r="H100" i="1" a="1"/>
  <c r="H100" i="1" s="1"/>
  <c r="K100" i="1" s="1"/>
  <c r="H98" i="1" a="1"/>
  <c r="H98" i="1" s="1"/>
  <c r="K98" i="1" s="1"/>
  <c r="G98" i="1"/>
  <c r="G82" i="1"/>
  <c r="H82" i="1" a="1"/>
  <c r="H82" i="1" s="1"/>
  <c r="K82" i="1" s="1"/>
  <c r="G80" i="1"/>
  <c r="H80" i="1" a="1"/>
  <c r="H80" i="1" s="1"/>
  <c r="K80" i="1" s="1"/>
  <c r="H70" i="1" a="1"/>
  <c r="H70" i="1" s="1"/>
  <c r="K70" i="1" s="1"/>
  <c r="G70" i="1"/>
  <c r="G53" i="1"/>
  <c r="H53" i="1" a="1"/>
  <c r="H53" i="1" s="1"/>
  <c r="K53" i="1" s="1"/>
  <c r="F212" i="1"/>
  <c r="H212" i="1" a="1"/>
  <c r="H212" i="1" s="1"/>
  <c r="K212" i="1" s="1"/>
  <c r="F208" i="1"/>
  <c r="H208" i="1" a="1"/>
  <c r="H208" i="1" s="1"/>
  <c r="K208" i="1" s="1"/>
  <c r="F204" i="1"/>
  <c r="H204" i="1" a="1"/>
  <c r="H204" i="1" s="1"/>
  <c r="K204" i="1" s="1"/>
  <c r="F200" i="1"/>
  <c r="H200" i="1" a="1"/>
  <c r="H200" i="1" s="1"/>
  <c r="K200" i="1" s="1"/>
  <c r="F196" i="1"/>
  <c r="H196" i="1" a="1"/>
  <c r="H196" i="1" s="1"/>
  <c r="K196" i="1" s="1"/>
  <c r="F192" i="1"/>
  <c r="H192" i="1" a="1"/>
  <c r="H192" i="1" s="1"/>
  <c r="K192" i="1" s="1"/>
  <c r="F188" i="1"/>
  <c r="H188" i="1" a="1"/>
  <c r="H188" i="1" s="1"/>
  <c r="K188" i="1" s="1"/>
  <c r="F184" i="1"/>
  <c r="H184" i="1" a="1"/>
  <c r="H184" i="1" s="1"/>
  <c r="K184" i="1" s="1"/>
  <c r="F180" i="1"/>
  <c r="H180" i="1" a="1"/>
  <c r="H180" i="1" s="1"/>
  <c r="K180" i="1" s="1"/>
  <c r="F176" i="1"/>
  <c r="H176" i="1" a="1"/>
  <c r="H176" i="1" s="1"/>
  <c r="K176" i="1" s="1"/>
  <c r="F172" i="1"/>
  <c r="H172" i="1" a="1"/>
  <c r="H172" i="1" s="1"/>
  <c r="K172" i="1" s="1"/>
  <c r="F166" i="1"/>
  <c r="H166" i="1" a="1"/>
  <c r="H166" i="1" s="1"/>
  <c r="K166" i="1" s="1"/>
  <c r="F164" i="1"/>
  <c r="H164" i="1" a="1"/>
  <c r="H164" i="1" s="1"/>
  <c r="K164" i="1" s="1"/>
  <c r="F158" i="1"/>
  <c r="H158" i="1" a="1"/>
  <c r="H158" i="1" s="1"/>
  <c r="K158" i="1" s="1"/>
  <c r="F156" i="1"/>
  <c r="H156" i="1" a="1"/>
  <c r="H156" i="1" s="1"/>
  <c r="K156" i="1" s="1"/>
  <c r="F150" i="1"/>
  <c r="H150" i="1" a="1"/>
  <c r="H150" i="1" s="1"/>
  <c r="K150" i="1" s="1"/>
  <c r="F148" i="1"/>
  <c r="H148" i="1" a="1"/>
  <c r="H148" i="1" s="1"/>
  <c r="K148" i="1" s="1"/>
  <c r="F142" i="1"/>
  <c r="H142" i="1" a="1"/>
  <c r="H142" i="1" s="1"/>
  <c r="K142" i="1" s="1"/>
  <c r="F140" i="1"/>
  <c r="H140" i="1" a="1"/>
  <c r="H140" i="1" s="1"/>
  <c r="K140" i="1" s="1"/>
  <c r="F134" i="1"/>
  <c r="H134" i="1" a="1"/>
  <c r="H134" i="1" s="1"/>
  <c r="K134" i="1" s="1"/>
  <c r="F132" i="1"/>
  <c r="H132" i="1" a="1"/>
  <c r="H132" i="1" s="1"/>
  <c r="K132" i="1" s="1"/>
  <c r="F126" i="1"/>
  <c r="H126" i="1" a="1"/>
  <c r="H126" i="1" s="1"/>
  <c r="K126" i="1" s="1"/>
  <c r="F124" i="1"/>
  <c r="H124" i="1" a="1"/>
  <c r="H124" i="1" s="1"/>
  <c r="K124" i="1" s="1"/>
  <c r="F118" i="1"/>
  <c r="H118" i="1" a="1"/>
  <c r="H118" i="1" s="1"/>
  <c r="K118" i="1" s="1"/>
  <c r="F116" i="1"/>
  <c r="H116" i="1" a="1"/>
  <c r="H116" i="1" s="1"/>
  <c r="K116" i="1" s="1"/>
  <c r="F107" i="1"/>
  <c r="H107" i="1" a="1"/>
  <c r="H107" i="1" s="1"/>
  <c r="K107" i="1" s="1"/>
  <c r="F90" i="1"/>
  <c r="H90" i="1" a="1"/>
  <c r="H90" i="1" s="1"/>
  <c r="K90" i="1" s="1"/>
  <c r="F78" i="1"/>
  <c r="H78" i="1" a="1"/>
  <c r="H78" i="1" s="1"/>
  <c r="K78" i="1" s="1"/>
  <c r="F62" i="1"/>
  <c r="H62" i="1" a="1"/>
  <c r="H62" i="1" s="1"/>
  <c r="K62" i="1" s="1"/>
  <c r="F33" i="1"/>
  <c r="H33" i="1" a="1"/>
  <c r="H33" i="1" s="1"/>
  <c r="K33" i="1" s="1"/>
  <c r="F104" i="1"/>
  <c r="H104" i="1" a="1"/>
  <c r="H104" i="1" s="1"/>
  <c r="K104" i="1" s="1"/>
  <c r="F102" i="1"/>
  <c r="H102" i="1" a="1"/>
  <c r="H102" i="1" s="1"/>
  <c r="K102" i="1" s="1"/>
  <c r="F96" i="1"/>
  <c r="H96" i="1" a="1"/>
  <c r="H96" i="1" s="1"/>
  <c r="K96" i="1" s="1"/>
  <c r="F94" i="1"/>
  <c r="H94" i="1" a="1"/>
  <c r="H94" i="1" s="1"/>
  <c r="K94" i="1" s="1"/>
  <c r="F86" i="1"/>
  <c r="H86" i="1" a="1"/>
  <c r="H86" i="1" s="1"/>
  <c r="K86" i="1" s="1"/>
  <c r="F84" i="1"/>
  <c r="H84" i="1" a="1"/>
  <c r="H84" i="1" s="1"/>
  <c r="K84" i="1" s="1"/>
  <c r="F76" i="1"/>
  <c r="H76" i="1" a="1"/>
  <c r="H76" i="1" s="1"/>
  <c r="K76" i="1" s="1"/>
  <c r="F74" i="1"/>
  <c r="H74" i="1" a="1"/>
  <c r="H74" i="1" s="1"/>
  <c r="K74" i="1" s="1"/>
  <c r="F66" i="1"/>
  <c r="H66" i="1" a="1"/>
  <c r="H66" i="1" s="1"/>
  <c r="K66" i="1" s="1"/>
  <c r="F58" i="1"/>
  <c r="H58" i="1" a="1"/>
  <c r="H58" i="1" s="1"/>
  <c r="K58" i="1" s="1"/>
  <c r="F51" i="1"/>
  <c r="H51" i="1" a="1"/>
  <c r="H51" i="1" s="1"/>
  <c r="K51" i="1" s="1"/>
  <c r="F47" i="1"/>
  <c r="H47" i="1" a="1"/>
  <c r="H47" i="1" s="1"/>
  <c r="K47" i="1" s="1"/>
  <c r="F41" i="1"/>
  <c r="H41" i="1" a="1"/>
  <c r="H41" i="1" s="1"/>
  <c r="K41" i="1" s="1"/>
  <c r="F37" i="1"/>
  <c r="H37" i="1" a="1"/>
  <c r="H37" i="1" s="1"/>
  <c r="K37" i="1" s="1"/>
  <c r="F29" i="1"/>
  <c r="H29" i="1" a="1"/>
  <c r="H29" i="1" s="1"/>
  <c r="K29" i="1" s="1"/>
  <c r="F25" i="1"/>
  <c r="H25" i="1" a="1"/>
  <c r="H25" i="1" s="1"/>
  <c r="K25" i="1" s="1"/>
  <c r="F17" i="1"/>
  <c r="H17" i="1" a="1"/>
  <c r="H17" i="1" s="1"/>
  <c r="K17" i="1" s="1"/>
  <c r="H207" i="1" a="1"/>
  <c r="H207" i="1" s="1"/>
  <c r="K207" i="1" s="1"/>
  <c r="E207" i="1"/>
  <c r="H199" i="1" a="1"/>
  <c r="H199" i="1" s="1"/>
  <c r="K199" i="1" s="1"/>
  <c r="E199" i="1"/>
  <c r="H191" i="1" a="1"/>
  <c r="H191" i="1" s="1"/>
  <c r="K191" i="1" s="1"/>
  <c r="E191" i="1"/>
  <c r="H183" i="1" a="1"/>
  <c r="H183" i="1" s="1"/>
  <c r="K183" i="1" s="1"/>
  <c r="E183" i="1"/>
  <c r="H175" i="1" a="1"/>
  <c r="H175" i="1" s="1"/>
  <c r="K175" i="1" s="1"/>
  <c r="E175" i="1"/>
  <c r="H163" i="1" a="1"/>
  <c r="H163" i="1" s="1"/>
  <c r="K163" i="1" s="1"/>
  <c r="E163" i="1"/>
  <c r="H147" i="1" a="1"/>
  <c r="H147" i="1" s="1"/>
  <c r="K147" i="1" s="1"/>
  <c r="E147" i="1"/>
  <c r="H131" i="1" a="1"/>
  <c r="H131" i="1" s="1"/>
  <c r="K131" i="1" s="1"/>
  <c r="E131" i="1"/>
  <c r="H115" i="1" a="1"/>
  <c r="H115" i="1" s="1"/>
  <c r="K115" i="1" s="1"/>
  <c r="E115" i="1"/>
  <c r="E79" i="1"/>
  <c r="H79" i="1" a="1"/>
  <c r="H79" i="1" s="1"/>
  <c r="K79" i="1" s="1"/>
  <c r="E93" i="1"/>
  <c r="H93" i="1" a="1"/>
  <c r="H93" i="1" s="1"/>
  <c r="K93" i="1" s="1"/>
  <c r="E65" i="1"/>
  <c r="H65" i="1" a="1"/>
  <c r="H65" i="1" s="1"/>
  <c r="K65" i="1" s="1"/>
  <c r="E20" i="1"/>
  <c r="H20" i="1" a="1"/>
  <c r="H20" i="1" s="1"/>
  <c r="K20" i="1" s="1"/>
  <c r="H68" i="1" a="1"/>
  <c r="H68" i="1" s="1"/>
  <c r="K68" i="1" s="1"/>
  <c r="H60" i="1" a="1"/>
  <c r="H60" i="1" s="1"/>
  <c r="K60" i="1" s="1"/>
  <c r="E28" i="1"/>
  <c r="H28" i="1" a="1"/>
  <c r="H28" i="1" s="1"/>
  <c r="K28" i="1" s="1"/>
  <c r="E44" i="1"/>
  <c r="H44" i="1" a="1"/>
  <c r="H44" i="1" s="1"/>
  <c r="K44" i="1" s="1"/>
  <c r="H40" i="1" a="1"/>
  <c r="H40" i="1" s="1"/>
  <c r="K40" i="1" s="1"/>
  <c r="E40" i="1"/>
  <c r="E57" i="1"/>
  <c r="H57" i="1" a="1"/>
  <c r="H57" i="1" s="1"/>
  <c r="K57" i="1" s="1"/>
  <c r="E32" i="1"/>
  <c r="H32" i="1" a="1"/>
  <c r="H32" i="1" s="1"/>
  <c r="K32" i="1" s="1"/>
  <c r="H48" i="1" a="1"/>
  <c r="H48" i="1" s="1"/>
  <c r="K48" i="1" s="1"/>
  <c r="E48" i="1"/>
  <c r="H59" i="1" a="1"/>
  <c r="H59" i="1" s="1"/>
  <c r="K59" i="1" s="1"/>
  <c r="E59" i="1"/>
  <c r="H67" i="1" a="1"/>
  <c r="H67" i="1" s="1"/>
  <c r="K67" i="1" s="1"/>
  <c r="E67" i="1"/>
  <c r="H75" i="1" a="1"/>
  <c r="H75" i="1" s="1"/>
  <c r="K75" i="1" s="1"/>
  <c r="E75" i="1"/>
  <c r="H83" i="1" a="1"/>
  <c r="H83" i="1" s="1"/>
  <c r="K83" i="1" s="1"/>
  <c r="E83" i="1"/>
  <c r="E89" i="1"/>
  <c r="H89" i="1" a="1"/>
  <c r="H89" i="1" s="1"/>
  <c r="K89" i="1" s="1"/>
  <c r="H95" i="1" a="1"/>
  <c r="H95" i="1" s="1"/>
  <c r="K95" i="1" s="1"/>
  <c r="E95" i="1"/>
  <c r="H103" i="1" a="1"/>
  <c r="H103" i="1" s="1"/>
  <c r="K103" i="1" s="1"/>
  <c r="E103" i="1"/>
  <c r="E117" i="1"/>
  <c r="H117" i="1" a="1"/>
  <c r="H117" i="1" s="1"/>
  <c r="K117" i="1" s="1"/>
  <c r="E125" i="1"/>
  <c r="H125" i="1" a="1"/>
  <c r="H125" i="1" s="1"/>
  <c r="K125" i="1" s="1"/>
  <c r="E133" i="1"/>
  <c r="H133" i="1" a="1"/>
  <c r="H133" i="1" s="1"/>
  <c r="K133" i="1" s="1"/>
  <c r="E141" i="1"/>
  <c r="H141" i="1" a="1"/>
  <c r="H141" i="1" s="1"/>
  <c r="K141" i="1" s="1"/>
  <c r="E149" i="1"/>
  <c r="H149" i="1" a="1"/>
  <c r="H149" i="1" s="1"/>
  <c r="K149" i="1" s="1"/>
  <c r="E157" i="1"/>
  <c r="H157" i="1" a="1"/>
  <c r="H157" i="1" s="1"/>
  <c r="K157" i="1" s="1"/>
  <c r="E165" i="1"/>
  <c r="H165" i="1" a="1"/>
  <c r="H165" i="1" s="1"/>
  <c r="K165" i="1" s="1"/>
  <c r="E36" i="1"/>
  <c r="H36" i="1" a="1"/>
  <c r="H36" i="1" s="1"/>
  <c r="K36" i="1" s="1"/>
  <c r="H55" i="1" a="1"/>
  <c r="H55" i="1" s="1"/>
  <c r="K55" i="1" s="1"/>
  <c r="E55" i="1"/>
  <c r="H63" i="1" a="1"/>
  <c r="H63" i="1" s="1"/>
  <c r="K63" i="1" s="1"/>
  <c r="E63" i="1"/>
  <c r="H71" i="1" a="1"/>
  <c r="H71" i="1" s="1"/>
  <c r="K71" i="1" s="1"/>
  <c r="E71" i="1"/>
  <c r="E81" i="1"/>
  <c r="H81" i="1" a="1"/>
  <c r="H81" i="1" s="1"/>
  <c r="K81" i="1" s="1"/>
  <c r="E85" i="1"/>
  <c r="H85" i="1" a="1"/>
  <c r="H85" i="1" s="1"/>
  <c r="K85" i="1" s="1"/>
  <c r="H91" i="1" a="1"/>
  <c r="H91" i="1" s="1"/>
  <c r="K91" i="1" s="1"/>
  <c r="E91" i="1"/>
  <c r="H99" i="1" a="1"/>
  <c r="H99" i="1" s="1"/>
  <c r="K99" i="1" s="1"/>
  <c r="E99" i="1"/>
  <c r="E113" i="1"/>
  <c r="H113" i="1" a="1"/>
  <c r="H113" i="1" s="1"/>
  <c r="K113" i="1" s="1"/>
  <c r="E121" i="1"/>
  <c r="H121" i="1" a="1"/>
  <c r="H121" i="1" s="1"/>
  <c r="K121" i="1" s="1"/>
  <c r="E129" i="1"/>
  <c r="H129" i="1" a="1"/>
  <c r="H129" i="1" s="1"/>
  <c r="K129" i="1" s="1"/>
  <c r="E137" i="1"/>
  <c r="H137" i="1" a="1"/>
  <c r="H137" i="1" s="1"/>
  <c r="K137" i="1" s="1"/>
  <c r="E145" i="1"/>
  <c r="H145" i="1" a="1"/>
  <c r="H145" i="1" s="1"/>
  <c r="K145" i="1" s="1"/>
  <c r="E153" i="1"/>
  <c r="H153" i="1" a="1"/>
  <c r="H153" i="1" s="1"/>
  <c r="K153" i="1" s="1"/>
  <c r="E161" i="1"/>
  <c r="H161" i="1" a="1"/>
  <c r="H161" i="1" s="1"/>
  <c r="K161" i="1" s="1"/>
  <c r="E169" i="1"/>
  <c r="H169" i="1" a="1"/>
  <c r="H169" i="1" s="1"/>
  <c r="K169" i="1" s="1"/>
  <c r="F21" i="1"/>
  <c r="H21" i="1" a="1"/>
  <c r="H21" i="1" s="1"/>
  <c r="K21" i="1" s="1"/>
  <c r="E12" i="1"/>
  <c r="H12" i="1" a="1"/>
  <c r="H12" i="1" s="1"/>
  <c r="K12" i="1" s="1"/>
  <c r="E24" i="1"/>
  <c r="H24" i="1" a="1"/>
  <c r="H24" i="1" s="1"/>
  <c r="K24" i="1" s="1"/>
  <c r="G11" i="1"/>
  <c r="H11" i="1" a="1"/>
  <c r="H11" i="1" s="1"/>
  <c r="K11" i="1" s="1"/>
  <c r="G9" i="1"/>
  <c r="H9" i="1" a="1"/>
  <c r="H9" i="1" s="1"/>
  <c r="K9" i="1" s="1"/>
  <c r="F15" i="1"/>
  <c r="H15" i="1" a="1"/>
  <c r="H15" i="1" s="1"/>
  <c r="K15" i="1" s="1"/>
  <c r="V6" i="1"/>
  <c r="E8" i="1"/>
  <c r="H8" i="1" a="1"/>
  <c r="H8" i="1" s="1"/>
  <c r="K8" i="1" s="1"/>
  <c r="S12" i="1"/>
  <c r="T12" i="1"/>
  <c r="S13" i="1" l="1"/>
  <c r="W13" i="1"/>
  <c r="V13" i="1" s="1"/>
  <c r="W12" i="1"/>
  <c r="V12" i="1" s="1"/>
  <c r="K5" i="1"/>
  <c r="J5" i="1" s="1"/>
  <c r="W15" i="1" l="1" a="1"/>
  <c r="W15" i="1" s="1"/>
  <c r="N5" i="1" s="1"/>
  <c r="C10" i="2" s="1"/>
  <c r="L241" i="1"/>
  <c r="L225" i="1"/>
  <c r="L213" i="1"/>
  <c r="L205" i="1"/>
  <c r="L197" i="1"/>
  <c r="L189" i="1"/>
  <c r="L181" i="1"/>
  <c r="L175" i="1"/>
  <c r="L245" i="1"/>
  <c r="L229" i="1"/>
  <c r="L215" i="1"/>
  <c r="L207" i="1"/>
  <c r="L199" i="1"/>
  <c r="L191" i="1"/>
  <c r="L183" i="1"/>
  <c r="L173" i="1"/>
  <c r="L169" i="1"/>
  <c r="L153" i="1"/>
  <c r="L137" i="1"/>
  <c r="L121" i="1"/>
  <c r="L105" i="1"/>
  <c r="L89" i="1"/>
  <c r="L73" i="1"/>
  <c r="L242" i="1"/>
  <c r="L126" i="1"/>
  <c r="L62" i="1"/>
  <c r="L94" i="1"/>
  <c r="L26" i="1"/>
  <c r="L44" i="1"/>
  <c r="L219" i="1"/>
  <c r="L251" i="1"/>
  <c r="L48" i="1"/>
  <c r="L255" i="1"/>
  <c r="L163" i="1"/>
  <c r="L155" i="1"/>
  <c r="L147" i="1"/>
  <c r="L139" i="1"/>
  <c r="L131" i="1"/>
  <c r="L123" i="1"/>
  <c r="L115" i="1"/>
  <c r="L107" i="1"/>
  <c r="L99" i="1"/>
  <c r="L91" i="1"/>
  <c r="L83" i="1"/>
  <c r="L75" i="1"/>
  <c r="L67" i="1"/>
  <c r="L59" i="1"/>
  <c r="L51" i="1"/>
  <c r="L43" i="1"/>
  <c r="L35" i="1"/>
  <c r="L27" i="1"/>
  <c r="L19" i="1"/>
  <c r="L11" i="1"/>
  <c r="L234" i="1"/>
  <c r="L146" i="1"/>
  <c r="L118" i="1"/>
  <c r="L82" i="1"/>
  <c r="L54" i="1"/>
  <c r="L22" i="1"/>
  <c r="L186" i="1"/>
  <c r="L114" i="1"/>
  <c r="L86" i="1"/>
  <c r="L18" i="1"/>
  <c r="L36" i="1"/>
  <c r="L223" i="1"/>
  <c r="L239" i="1"/>
  <c r="L250" i="1"/>
  <c r="L40" i="1"/>
  <c r="L165" i="1"/>
  <c r="L246" i="1"/>
  <c r="L233" i="1"/>
  <c r="L209" i="1"/>
  <c r="L193" i="1"/>
  <c r="L171" i="1"/>
  <c r="L237" i="1"/>
  <c r="L211" i="1"/>
  <c r="L195" i="1"/>
  <c r="L179" i="1"/>
  <c r="L161" i="1"/>
  <c r="L129" i="1"/>
  <c r="L97" i="1"/>
  <c r="L65" i="1"/>
  <c r="L29" i="1"/>
  <c r="L154" i="1"/>
  <c r="L30" i="1"/>
  <c r="L122" i="1"/>
  <c r="L140" i="1"/>
  <c r="L12" i="1"/>
  <c r="L144" i="1"/>
  <c r="L16" i="1"/>
  <c r="L159" i="1"/>
  <c r="L143" i="1"/>
  <c r="L127" i="1"/>
  <c r="L111" i="1"/>
  <c r="L95" i="1"/>
  <c r="L79" i="1"/>
  <c r="L63" i="1"/>
  <c r="L47" i="1"/>
  <c r="L31" i="1"/>
  <c r="L15" i="1"/>
  <c r="L232" i="1"/>
  <c r="L200" i="1"/>
  <c r="L168" i="1"/>
  <c r="L218" i="1"/>
  <c r="L162" i="1"/>
  <c r="L102" i="1"/>
  <c r="L38" i="1"/>
  <c r="L202" i="1"/>
  <c r="L134" i="1"/>
  <c r="L66" i="1"/>
  <c r="L84" i="1"/>
  <c r="L20" i="1"/>
  <c r="L247" i="1"/>
  <c r="L120" i="1"/>
  <c r="L56" i="1"/>
  <c r="I5" i="1"/>
  <c r="L149" i="1"/>
  <c r="L133" i="1"/>
  <c r="L117" i="1"/>
  <c r="L101" i="1"/>
  <c r="L85" i="1"/>
  <c r="L69" i="1"/>
  <c r="L57" i="1"/>
  <c r="L198" i="1"/>
  <c r="L138" i="1"/>
  <c r="L78" i="1"/>
  <c r="L14" i="1"/>
  <c r="L178" i="1"/>
  <c r="L106" i="1"/>
  <c r="L42" i="1"/>
  <c r="L124" i="1"/>
  <c r="L60" i="1"/>
  <c r="L227" i="1"/>
  <c r="L6" i="1"/>
  <c r="L96" i="1"/>
  <c r="L32" i="1"/>
  <c r="L249" i="1"/>
  <c r="L217" i="1"/>
  <c r="L201" i="1"/>
  <c r="L185" i="1"/>
  <c r="L253" i="1"/>
  <c r="L221" i="1"/>
  <c r="L203" i="1"/>
  <c r="L187" i="1"/>
  <c r="L177" i="1"/>
  <c r="L145" i="1"/>
  <c r="L113" i="1"/>
  <c r="L81" i="1"/>
  <c r="L45" i="1"/>
  <c r="L13" i="1"/>
  <c r="L210" i="1"/>
  <c r="L90" i="1"/>
  <c r="L194" i="1"/>
  <c r="L58" i="1"/>
  <c r="L76" i="1"/>
  <c r="L235" i="1"/>
  <c r="L80" i="1"/>
  <c r="L167" i="1"/>
  <c r="L151" i="1"/>
  <c r="L135" i="1"/>
  <c r="L119" i="1"/>
  <c r="L103" i="1"/>
  <c r="L87" i="1"/>
  <c r="L71" i="1"/>
  <c r="L55" i="1"/>
  <c r="L39" i="1"/>
  <c r="L23" i="1"/>
  <c r="L7" i="1"/>
  <c r="L216" i="1"/>
  <c r="L184" i="1"/>
  <c r="L254" i="1"/>
  <c r="L190" i="1"/>
  <c r="L130" i="1"/>
  <c r="L70" i="1"/>
  <c r="L238" i="1"/>
  <c r="L166" i="1"/>
  <c r="L98" i="1"/>
  <c r="L34" i="1"/>
  <c r="L116" i="1"/>
  <c r="L52" i="1"/>
  <c r="L231" i="1"/>
  <c r="L152" i="1"/>
  <c r="L88" i="1"/>
  <c r="L24" i="1"/>
  <c r="L157" i="1"/>
  <c r="L141" i="1"/>
  <c r="L125" i="1"/>
  <c r="L109" i="1"/>
  <c r="L93" i="1"/>
  <c r="L77" i="1"/>
  <c r="L61" i="1"/>
  <c r="L226" i="1"/>
  <c r="L170" i="1"/>
  <c r="L110" i="1"/>
  <c r="L46" i="1"/>
  <c r="L214" i="1"/>
  <c r="L142" i="1"/>
  <c r="L74" i="1"/>
  <c r="L10" i="1"/>
  <c r="L92" i="1"/>
  <c r="L28" i="1"/>
  <c r="L243" i="1"/>
  <c r="L128" i="1"/>
  <c r="L64" i="1"/>
  <c r="L9" i="1"/>
  <c r="L41" i="1"/>
  <c r="L236" i="1"/>
  <c r="L204" i="1"/>
  <c r="L172" i="1"/>
  <c r="L17" i="1"/>
  <c r="L49" i="1"/>
  <c r="L228" i="1"/>
  <c r="L196" i="1"/>
  <c r="L164" i="1"/>
  <c r="L136" i="1"/>
  <c r="L112" i="1"/>
  <c r="L104" i="1"/>
  <c r="L72" i="1"/>
  <c r="L50" i="1"/>
  <c r="L182" i="1"/>
  <c r="L21" i="1"/>
  <c r="L53" i="1"/>
  <c r="L240" i="1"/>
  <c r="L208" i="1"/>
  <c r="L176" i="1"/>
  <c r="L206" i="1"/>
  <c r="L158" i="1"/>
  <c r="L25" i="1"/>
  <c r="L252" i="1"/>
  <c r="L220" i="1"/>
  <c r="L188" i="1"/>
  <c r="L156" i="1"/>
  <c r="L33" i="1"/>
  <c r="L244" i="1"/>
  <c r="L212" i="1"/>
  <c r="L180" i="1"/>
  <c r="L148" i="1"/>
  <c r="L132" i="1"/>
  <c r="L108" i="1"/>
  <c r="L100" i="1"/>
  <c r="L68" i="1"/>
  <c r="L230" i="1"/>
  <c r="L150" i="1"/>
  <c r="L37" i="1"/>
  <c r="L248" i="1"/>
  <c r="L224" i="1"/>
  <c r="L192" i="1"/>
  <c r="L160" i="1"/>
  <c r="L222" i="1"/>
  <c r="L174" i="1"/>
  <c r="L8" i="1"/>
  <c r="N3" i="1" l="1"/>
  <c r="C6" i="2" s="1"/>
  <c r="N4" i="1"/>
  <c r="D6" i="2" s="1"/>
  <c r="I221" i="1"/>
  <c r="I201" i="1"/>
  <c r="I185" i="1"/>
  <c r="I169" i="1"/>
  <c r="I149" i="1"/>
  <c r="I129" i="1"/>
  <c r="I109" i="1"/>
  <c r="I93" i="1"/>
  <c r="I247" i="1"/>
  <c r="I230" i="1"/>
  <c r="I190" i="1"/>
  <c r="I150" i="1"/>
  <c r="I110" i="1"/>
  <c r="I78" i="1"/>
  <c r="I56" i="1"/>
  <c r="I238" i="1"/>
  <c r="I254" i="1"/>
  <c r="I223" i="1"/>
  <c r="I215" i="1"/>
  <c r="I207" i="1"/>
  <c r="I199" i="1"/>
  <c r="I191" i="1"/>
  <c r="I183" i="1"/>
  <c r="I175" i="1"/>
  <c r="I167" i="1"/>
  <c r="I159" i="1"/>
  <c r="I151" i="1"/>
  <c r="I143" i="1"/>
  <c r="I135" i="1"/>
  <c r="I127" i="1"/>
  <c r="I119" i="1"/>
  <c r="I111" i="1"/>
  <c r="I103" i="1"/>
  <c r="I95" i="1"/>
  <c r="I87" i="1"/>
  <c r="I79" i="1"/>
  <c r="I249" i="1"/>
  <c r="I237" i="1"/>
  <c r="I226" i="1"/>
  <c r="I210" i="1"/>
  <c r="I194" i="1"/>
  <c r="I178" i="1"/>
  <c r="I162" i="1"/>
  <c r="I146" i="1"/>
  <c r="I130" i="1"/>
  <c r="I114" i="1"/>
  <c r="I98" i="1"/>
  <c r="I82" i="1"/>
  <c r="I70" i="1"/>
  <c r="I62" i="1"/>
  <c r="I54" i="1"/>
  <c r="I46" i="1"/>
  <c r="I37" i="1"/>
  <c r="I29" i="1"/>
  <c r="I21" i="1"/>
  <c r="I13" i="1"/>
  <c r="I6" i="1"/>
  <c r="I252" i="1"/>
  <c r="I224" i="1"/>
  <c r="I192" i="1"/>
  <c r="I164" i="1"/>
  <c r="I136" i="1"/>
  <c r="I108" i="1"/>
  <c r="I228" i="1"/>
  <c r="I196" i="1"/>
  <c r="I160" i="1"/>
  <c r="I124" i="1"/>
  <c r="I88" i="1"/>
  <c r="I65" i="1"/>
  <c r="I49" i="1"/>
  <c r="I32" i="1"/>
  <c r="I16" i="1"/>
  <c r="I76" i="1"/>
  <c r="I59" i="1"/>
  <c r="I43" i="1"/>
  <c r="I26" i="1"/>
  <c r="I236" i="1"/>
  <c r="I213" i="1"/>
  <c r="I193" i="1"/>
  <c r="I177" i="1"/>
  <c r="I157" i="1"/>
  <c r="I141" i="1"/>
  <c r="I121" i="1"/>
  <c r="I101" i="1"/>
  <c r="I81" i="1"/>
  <c r="I233" i="1"/>
  <c r="I206" i="1"/>
  <c r="I174" i="1"/>
  <c r="I134" i="1"/>
  <c r="I94" i="1"/>
  <c r="I68" i="1"/>
  <c r="I234" i="1"/>
  <c r="I242" i="1"/>
  <c r="I227" i="1"/>
  <c r="I219" i="1"/>
  <c r="I211" i="1"/>
  <c r="I203" i="1"/>
  <c r="I195" i="1"/>
  <c r="I187" i="1"/>
  <c r="I179" i="1"/>
  <c r="I171" i="1"/>
  <c r="I163" i="1"/>
  <c r="I155" i="1"/>
  <c r="I147" i="1"/>
  <c r="I139" i="1"/>
  <c r="I131" i="1"/>
  <c r="I123" i="1"/>
  <c r="I115" i="1"/>
  <c r="I107" i="1"/>
  <c r="I99" i="1"/>
  <c r="I91" i="1"/>
  <c r="I83" i="1"/>
  <c r="I75" i="1"/>
  <c r="I253" i="1"/>
  <c r="I245" i="1"/>
  <c r="I218" i="1"/>
  <c r="I202" i="1"/>
  <c r="I186" i="1"/>
  <c r="I170" i="1"/>
  <c r="I154" i="1"/>
  <c r="I138" i="1"/>
  <c r="I122" i="1"/>
  <c r="I106" i="1"/>
  <c r="I90" i="1"/>
  <c r="I74" i="1"/>
  <c r="I66" i="1"/>
  <c r="I58" i="1"/>
  <c r="I50" i="1"/>
  <c r="I42" i="1"/>
  <c r="I33" i="1"/>
  <c r="I25" i="1"/>
  <c r="I17" i="1"/>
  <c r="I9" i="1"/>
  <c r="I248" i="1"/>
  <c r="I239" i="1"/>
  <c r="I212" i="1"/>
  <c r="I180" i="1"/>
  <c r="I148" i="1"/>
  <c r="I120" i="1"/>
  <c r="I92" i="1"/>
  <c r="I208" i="1"/>
  <c r="I176" i="1"/>
  <c r="I140" i="1"/>
  <c r="I104" i="1"/>
  <c r="I73" i="1"/>
  <c r="I57" i="1"/>
  <c r="I41" i="1"/>
  <c r="I24" i="1"/>
  <c r="I8" i="1"/>
  <c r="I67" i="1"/>
  <c r="I51" i="1"/>
  <c r="I34" i="1"/>
  <c r="I18" i="1"/>
  <c r="I232" i="1"/>
  <c r="I244" i="1"/>
  <c r="I225" i="1"/>
  <c r="I209" i="1"/>
  <c r="I197" i="1"/>
  <c r="I181" i="1"/>
  <c r="I165" i="1"/>
  <c r="I153" i="1"/>
  <c r="I137" i="1"/>
  <c r="I125" i="1"/>
  <c r="I113" i="1"/>
  <c r="I97" i="1"/>
  <c r="I85" i="1"/>
  <c r="I251" i="1"/>
  <c r="I222" i="1"/>
  <c r="I198" i="1"/>
  <c r="I166" i="1"/>
  <c r="I142" i="1"/>
  <c r="I118" i="1"/>
  <c r="I86" i="1"/>
  <c r="I64" i="1"/>
  <c r="I52" i="1"/>
  <c r="I27" i="1"/>
  <c r="I216" i="1"/>
  <c r="I220" i="1"/>
  <c r="I61" i="1"/>
  <c r="I55" i="1"/>
  <c r="I48" i="1"/>
  <c r="I240" i="1"/>
  <c r="I217" i="1"/>
  <c r="I189" i="1"/>
  <c r="I161" i="1"/>
  <c r="I133" i="1"/>
  <c r="I105" i="1"/>
  <c r="I77" i="1"/>
  <c r="I214" i="1"/>
  <c r="I158" i="1"/>
  <c r="I102" i="1"/>
  <c r="I60" i="1"/>
  <c r="I11" i="1"/>
  <c r="I152" i="1"/>
  <c r="I22" i="1"/>
  <c r="I31" i="1"/>
  <c r="I15" i="1"/>
  <c r="I250" i="1"/>
  <c r="I200" i="1"/>
  <c r="I144" i="1"/>
  <c r="I235" i="1"/>
  <c r="I168" i="1"/>
  <c r="I96" i="1"/>
  <c r="I53" i="1"/>
  <c r="I20" i="1"/>
  <c r="I63" i="1"/>
  <c r="I30" i="1"/>
  <c r="I44" i="1"/>
  <c r="I246" i="1"/>
  <c r="I188" i="1"/>
  <c r="I100" i="1"/>
  <c r="I112" i="1"/>
  <c r="I45" i="1"/>
  <c r="I71" i="1"/>
  <c r="I40" i="1"/>
  <c r="I184" i="1"/>
  <c r="I28" i="1"/>
  <c r="I10" i="1"/>
  <c r="I229" i="1"/>
  <c r="I205" i="1"/>
  <c r="I173" i="1"/>
  <c r="I145" i="1"/>
  <c r="I117" i="1"/>
  <c r="I89" i="1"/>
  <c r="I241" i="1"/>
  <c r="I182" i="1"/>
  <c r="I126" i="1"/>
  <c r="I72" i="1"/>
  <c r="I35" i="1"/>
  <c r="I156" i="1"/>
  <c r="I12" i="1"/>
  <c r="I39" i="1"/>
  <c r="I23" i="1"/>
  <c r="I7" i="1"/>
  <c r="I243" i="1"/>
  <c r="I172" i="1"/>
  <c r="I116" i="1"/>
  <c r="I204" i="1"/>
  <c r="I132" i="1"/>
  <c r="I69" i="1"/>
  <c r="I36" i="1"/>
  <c r="I84" i="1"/>
  <c r="I47" i="1"/>
  <c r="I14" i="1"/>
  <c r="I19" i="1"/>
  <c r="I231" i="1"/>
  <c r="I128" i="1"/>
  <c r="I80" i="1"/>
  <c r="I38" i="1"/>
</calcChain>
</file>

<file path=xl/sharedStrings.xml><?xml version="1.0" encoding="utf-8"?>
<sst xmlns="http://schemas.openxmlformats.org/spreadsheetml/2006/main" count="41" uniqueCount="33">
  <si>
    <t>X1</t>
  </si>
  <si>
    <t>MIN</t>
  </si>
  <si>
    <t>Con1</t>
  </si>
  <si>
    <t>Con 2</t>
  </si>
  <si>
    <t>Con 3</t>
  </si>
  <si>
    <t>Display</t>
  </si>
  <si>
    <t>Z Values</t>
  </si>
  <si>
    <t>Level Curve</t>
  </si>
  <si>
    <t>X2</t>
  </si>
  <si>
    <t>S1</t>
  </si>
  <si>
    <t>S2</t>
  </si>
  <si>
    <t>S3</t>
  </si>
  <si>
    <t>Enumeration of Extreme Points</t>
  </si>
  <si>
    <t>Max</t>
  </si>
  <si>
    <t>Obj</t>
  </si>
  <si>
    <t>Feasible</t>
  </si>
  <si>
    <r>
      <t>Aqua Spas (X</t>
    </r>
    <r>
      <rPr>
        <b/>
        <vertAlign val="subscript"/>
        <sz val="12"/>
        <rFont val="Arial"/>
        <family val="2"/>
      </rPr>
      <t>1</t>
    </r>
    <r>
      <rPr>
        <b/>
        <sz val="12"/>
        <rFont val="Arial"/>
        <family val="2"/>
      </rPr>
      <t>)</t>
    </r>
  </si>
  <si>
    <r>
      <t>Hydro Luxes (X</t>
    </r>
    <r>
      <rPr>
        <b/>
        <vertAlign val="subscript"/>
        <sz val="12"/>
        <rFont val="Arial"/>
        <family val="2"/>
      </rPr>
      <t>2</t>
    </r>
    <r>
      <rPr>
        <b/>
        <sz val="12"/>
        <rFont val="Arial"/>
        <family val="2"/>
      </rPr>
      <t>)</t>
    </r>
  </si>
  <si>
    <t>Total Profit</t>
  </si>
  <si>
    <t># Required</t>
  </si>
  <si>
    <t># Available</t>
  </si>
  <si>
    <t>Optimal Qty</t>
  </si>
  <si>
    <t>Show Opt</t>
  </si>
  <si>
    <t xml:space="preserve">      Optimal solution</t>
  </si>
  <si>
    <t xml:space="preserve">   Tubing</t>
  </si>
  <si>
    <t xml:space="preserve">   Pumps</t>
  </si>
  <si>
    <t xml:space="preserve"> Labor</t>
  </si>
  <si>
    <t xml:space="preserve">      Pump boundary line</t>
  </si>
  <si>
    <t xml:space="preserve">      Labor boundary line</t>
  </si>
  <si>
    <t xml:space="preserve">      Tubing boundary line</t>
  </si>
  <si>
    <t>Unit Profits</t>
  </si>
  <si>
    <t xml:space="preserve">      Profit level curve</t>
  </si>
  <si>
    <t>Constraints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</si>
</sst>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"/>
  </numFmts>
  <fonts count="11" x14ac:knownFonts="1">
    <font>
      <sz val="12"/>
      <name val="Arial"/>
    </font>
    <font>
      <b/>
      <sz val="12"/>
      <name val="Arial"/>
      <family val="2"/>
    </font>
    <font>
      <sz val="8"/>
      <name val="Arial"/>
      <family val="2"/>
    </font>
    <font>
      <b/>
      <sz val="12"/>
      <color indexed="52"/>
      <name val="Arial"/>
      <family val="2"/>
    </font>
    <font>
      <b/>
      <sz val="12"/>
      <color indexed="10"/>
      <name val="Arial"/>
      <family val="2"/>
    </font>
    <font>
      <b/>
      <sz val="12"/>
      <color indexed="14"/>
      <name val="Arial"/>
      <family val="2"/>
    </font>
    <font>
      <b/>
      <sz val="12"/>
      <color indexed="48"/>
      <name val="Arial"/>
      <family val="2"/>
    </font>
    <font>
      <b/>
      <sz val="12"/>
      <color indexed="12"/>
      <name val="Arial"/>
      <family val="2"/>
    </font>
    <font>
      <b/>
      <vertAlign val="subscript"/>
      <sz val="12"/>
      <name val="Arial"/>
      <family val="2"/>
    </font>
    <font>
      <b/>
      <sz val="12"/>
      <color indexed="17"/>
      <name val="Arial"/>
      <family val="2"/>
    </font>
    <font>
      <sz val="1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164" fontId="7" fillId="0" borderId="1" xfId="0" applyNumberFormat="1" applyFont="1" applyBorder="1" applyAlignment="1" applyProtection="1">
      <alignment horizontal="center" vertical="center"/>
      <protection locked="0"/>
    </xf>
    <xf numFmtId="2" fontId="1" fillId="0" borderId="0" xfId="0" applyNumberFormat="1" applyFont="1" applyBorder="1" applyAlignment="1" applyProtection="1">
      <alignment horizontal="center"/>
      <protection hidden="1"/>
    </xf>
    <xf numFmtId="0" fontId="0" fillId="2" borderId="1" xfId="0" applyFill="1" applyBorder="1" applyProtection="1">
      <protection locked="0"/>
    </xf>
    <xf numFmtId="164" fontId="9" fillId="0" borderId="0" xfId="0" applyNumberFormat="1" applyFont="1" applyBorder="1" applyAlignment="1" applyProtection="1">
      <alignment vertical="center"/>
      <protection hidden="1"/>
    </xf>
    <xf numFmtId="164" fontId="9" fillId="0" borderId="0" xfId="0" applyNumberFormat="1" applyFont="1" applyBorder="1" applyAlignment="1" applyProtection="1">
      <alignment horizontal="center" vertical="center"/>
      <protection hidden="1"/>
    </xf>
    <xf numFmtId="2" fontId="9" fillId="0" borderId="0" xfId="0" applyNumberFormat="1" applyFont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0" borderId="0" xfId="0" applyProtection="1">
      <protection locked="0" hidden="1"/>
    </xf>
    <xf numFmtId="164" fontId="7" fillId="0" borderId="0" xfId="0" applyNumberFormat="1" applyFont="1" applyBorder="1" applyAlignment="1" applyProtection="1">
      <alignment horizontal="center" vertical="center"/>
    </xf>
    <xf numFmtId="0" fontId="1" fillId="0" borderId="0" xfId="0" applyFont="1" applyBorder="1" applyAlignment="1">
      <alignment horizontal="center"/>
    </xf>
    <xf numFmtId="164" fontId="7" fillId="0" borderId="2" xfId="0" applyNumberFormat="1" applyFont="1" applyBorder="1" applyAlignment="1" applyProtection="1">
      <alignment horizontal="center" vertical="center"/>
      <protection hidden="1"/>
    </xf>
    <xf numFmtId="164" fontId="7" fillId="0" borderId="3" xfId="0" applyNumberFormat="1" applyFont="1" applyBorder="1" applyAlignment="1" applyProtection="1">
      <alignment horizontal="center" vertical="center"/>
      <protection hidden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"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216216216216217"/>
          <c:y val="5.6338028169014086E-2"/>
          <c:w val="0.77992277992277992"/>
          <c:h val="0.77665995975855129"/>
        </c:manualLayout>
      </c:layout>
      <c:areaChart>
        <c:grouping val="stacked"/>
        <c:varyColors val="0"/>
        <c:ser>
          <c:idx val="0"/>
          <c:order val="0"/>
          <c:spPr>
            <a:solidFill>
              <a:srgbClr val="99CCFF"/>
            </a:solidFill>
            <a:ln w="25400">
              <a:solidFill>
                <a:srgbClr val="000000"/>
              </a:solidFill>
              <a:prstDash val="solid"/>
            </a:ln>
          </c:spPr>
          <c:cat>
            <c:numRef>
              <c:f>Data!$A$6:$A$254</c:f>
              <c:numCache>
                <c:formatCode>General</c:formatCode>
                <c:ptCount val="2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</c:numCache>
            </c:numRef>
          </c:cat>
          <c:val>
            <c:numRef>
              <c:f>Data!$H$6:$H$254</c:f>
              <c:numCache>
                <c:formatCode>0.00</c:formatCode>
                <c:ptCount val="249"/>
                <c:pt idx="0">
                  <c:v>180</c:v>
                </c:pt>
                <c:pt idx="1">
                  <c:v>179.25</c:v>
                </c:pt>
                <c:pt idx="2">
                  <c:v>178.5</c:v>
                </c:pt>
                <c:pt idx="3">
                  <c:v>177.75</c:v>
                </c:pt>
                <c:pt idx="4">
                  <c:v>177</c:v>
                </c:pt>
                <c:pt idx="5">
                  <c:v>176.25</c:v>
                </c:pt>
                <c:pt idx="6">
                  <c:v>175.5</c:v>
                </c:pt>
                <c:pt idx="7">
                  <c:v>174.75</c:v>
                </c:pt>
                <c:pt idx="8">
                  <c:v>174</c:v>
                </c:pt>
                <c:pt idx="9">
                  <c:v>173.25</c:v>
                </c:pt>
                <c:pt idx="10">
                  <c:v>172.5</c:v>
                </c:pt>
                <c:pt idx="11">
                  <c:v>171.75</c:v>
                </c:pt>
                <c:pt idx="12">
                  <c:v>171</c:v>
                </c:pt>
                <c:pt idx="13">
                  <c:v>170.25</c:v>
                </c:pt>
                <c:pt idx="14">
                  <c:v>169.5</c:v>
                </c:pt>
                <c:pt idx="15">
                  <c:v>168.75</c:v>
                </c:pt>
                <c:pt idx="16">
                  <c:v>168</c:v>
                </c:pt>
                <c:pt idx="17">
                  <c:v>167.25</c:v>
                </c:pt>
                <c:pt idx="18">
                  <c:v>166.5</c:v>
                </c:pt>
                <c:pt idx="19">
                  <c:v>165.75</c:v>
                </c:pt>
                <c:pt idx="20">
                  <c:v>165</c:v>
                </c:pt>
                <c:pt idx="21">
                  <c:v>164.25</c:v>
                </c:pt>
                <c:pt idx="22">
                  <c:v>163.5</c:v>
                </c:pt>
                <c:pt idx="23">
                  <c:v>162.75</c:v>
                </c:pt>
                <c:pt idx="24">
                  <c:v>162</c:v>
                </c:pt>
                <c:pt idx="25">
                  <c:v>161.25</c:v>
                </c:pt>
                <c:pt idx="26">
                  <c:v>160.5</c:v>
                </c:pt>
                <c:pt idx="27">
                  <c:v>159.75</c:v>
                </c:pt>
                <c:pt idx="28">
                  <c:v>159</c:v>
                </c:pt>
                <c:pt idx="29">
                  <c:v>158.25</c:v>
                </c:pt>
                <c:pt idx="30">
                  <c:v>157.5</c:v>
                </c:pt>
                <c:pt idx="31">
                  <c:v>156.75</c:v>
                </c:pt>
                <c:pt idx="32">
                  <c:v>156</c:v>
                </c:pt>
                <c:pt idx="33">
                  <c:v>155.25</c:v>
                </c:pt>
                <c:pt idx="34">
                  <c:v>154.5</c:v>
                </c:pt>
                <c:pt idx="35">
                  <c:v>153.75</c:v>
                </c:pt>
                <c:pt idx="36">
                  <c:v>153</c:v>
                </c:pt>
                <c:pt idx="37">
                  <c:v>152.25</c:v>
                </c:pt>
                <c:pt idx="38">
                  <c:v>151.5</c:v>
                </c:pt>
                <c:pt idx="39">
                  <c:v>150.75</c:v>
                </c:pt>
                <c:pt idx="40">
                  <c:v>150</c:v>
                </c:pt>
                <c:pt idx="41">
                  <c:v>149.25</c:v>
                </c:pt>
                <c:pt idx="42">
                  <c:v>148.5</c:v>
                </c:pt>
                <c:pt idx="43">
                  <c:v>147.75</c:v>
                </c:pt>
                <c:pt idx="44">
                  <c:v>147</c:v>
                </c:pt>
                <c:pt idx="45">
                  <c:v>146.25</c:v>
                </c:pt>
                <c:pt idx="46">
                  <c:v>145.5</c:v>
                </c:pt>
                <c:pt idx="47">
                  <c:v>144.75</c:v>
                </c:pt>
                <c:pt idx="48">
                  <c:v>144</c:v>
                </c:pt>
                <c:pt idx="49">
                  <c:v>143.25</c:v>
                </c:pt>
                <c:pt idx="50">
                  <c:v>142.5</c:v>
                </c:pt>
                <c:pt idx="51">
                  <c:v>141.75</c:v>
                </c:pt>
                <c:pt idx="52">
                  <c:v>141</c:v>
                </c:pt>
                <c:pt idx="53">
                  <c:v>140.25</c:v>
                </c:pt>
                <c:pt idx="54">
                  <c:v>139.5</c:v>
                </c:pt>
                <c:pt idx="55">
                  <c:v>138.75</c:v>
                </c:pt>
                <c:pt idx="56">
                  <c:v>138</c:v>
                </c:pt>
                <c:pt idx="57">
                  <c:v>137.25</c:v>
                </c:pt>
                <c:pt idx="58">
                  <c:v>136.5</c:v>
                </c:pt>
                <c:pt idx="59">
                  <c:v>135.75</c:v>
                </c:pt>
                <c:pt idx="60">
                  <c:v>135</c:v>
                </c:pt>
                <c:pt idx="61">
                  <c:v>134.25</c:v>
                </c:pt>
                <c:pt idx="62">
                  <c:v>133.5</c:v>
                </c:pt>
                <c:pt idx="63">
                  <c:v>132.75</c:v>
                </c:pt>
                <c:pt idx="64">
                  <c:v>132</c:v>
                </c:pt>
                <c:pt idx="65">
                  <c:v>131.25</c:v>
                </c:pt>
                <c:pt idx="66">
                  <c:v>130.5</c:v>
                </c:pt>
                <c:pt idx="67">
                  <c:v>129.75</c:v>
                </c:pt>
                <c:pt idx="68">
                  <c:v>129</c:v>
                </c:pt>
                <c:pt idx="69">
                  <c:v>128.25</c:v>
                </c:pt>
                <c:pt idx="70">
                  <c:v>127.5</c:v>
                </c:pt>
                <c:pt idx="71">
                  <c:v>126.75</c:v>
                </c:pt>
                <c:pt idx="72">
                  <c:v>126</c:v>
                </c:pt>
                <c:pt idx="73">
                  <c:v>125.25</c:v>
                </c:pt>
                <c:pt idx="74">
                  <c:v>124.5</c:v>
                </c:pt>
                <c:pt idx="75">
                  <c:v>123.75</c:v>
                </c:pt>
                <c:pt idx="76">
                  <c:v>123</c:v>
                </c:pt>
                <c:pt idx="77">
                  <c:v>122.25</c:v>
                </c:pt>
                <c:pt idx="78">
                  <c:v>121.5</c:v>
                </c:pt>
                <c:pt idx="79">
                  <c:v>120.75</c:v>
                </c:pt>
                <c:pt idx="80">
                  <c:v>120</c:v>
                </c:pt>
                <c:pt idx="81">
                  <c:v>119</c:v>
                </c:pt>
                <c:pt idx="82">
                  <c:v>118</c:v>
                </c:pt>
                <c:pt idx="83">
                  <c:v>117</c:v>
                </c:pt>
                <c:pt idx="84">
                  <c:v>116</c:v>
                </c:pt>
                <c:pt idx="85">
                  <c:v>115</c:v>
                </c:pt>
                <c:pt idx="86">
                  <c:v>114</c:v>
                </c:pt>
                <c:pt idx="87">
                  <c:v>113</c:v>
                </c:pt>
                <c:pt idx="88">
                  <c:v>112</c:v>
                </c:pt>
                <c:pt idx="89">
                  <c:v>111</c:v>
                </c:pt>
                <c:pt idx="90">
                  <c:v>110</c:v>
                </c:pt>
                <c:pt idx="91">
                  <c:v>109</c:v>
                </c:pt>
                <c:pt idx="92">
                  <c:v>108</c:v>
                </c:pt>
                <c:pt idx="93">
                  <c:v>107</c:v>
                </c:pt>
                <c:pt idx="94">
                  <c:v>106</c:v>
                </c:pt>
                <c:pt idx="95">
                  <c:v>105</c:v>
                </c:pt>
                <c:pt idx="96">
                  <c:v>104</c:v>
                </c:pt>
                <c:pt idx="97">
                  <c:v>103</c:v>
                </c:pt>
                <c:pt idx="98">
                  <c:v>102</c:v>
                </c:pt>
                <c:pt idx="99">
                  <c:v>101</c:v>
                </c:pt>
                <c:pt idx="100">
                  <c:v>100</c:v>
                </c:pt>
                <c:pt idx="101">
                  <c:v>99</c:v>
                </c:pt>
                <c:pt idx="102">
                  <c:v>98</c:v>
                </c:pt>
                <c:pt idx="103">
                  <c:v>97</c:v>
                </c:pt>
                <c:pt idx="104">
                  <c:v>96</c:v>
                </c:pt>
                <c:pt idx="105">
                  <c:v>95</c:v>
                </c:pt>
                <c:pt idx="106">
                  <c:v>94</c:v>
                </c:pt>
                <c:pt idx="107">
                  <c:v>93</c:v>
                </c:pt>
                <c:pt idx="108">
                  <c:v>92</c:v>
                </c:pt>
                <c:pt idx="109">
                  <c:v>91</c:v>
                </c:pt>
                <c:pt idx="110">
                  <c:v>90</c:v>
                </c:pt>
                <c:pt idx="111">
                  <c:v>89</c:v>
                </c:pt>
                <c:pt idx="112">
                  <c:v>88</c:v>
                </c:pt>
                <c:pt idx="113">
                  <c:v>87</c:v>
                </c:pt>
                <c:pt idx="114">
                  <c:v>86</c:v>
                </c:pt>
                <c:pt idx="115">
                  <c:v>85</c:v>
                </c:pt>
                <c:pt idx="116">
                  <c:v>84</c:v>
                </c:pt>
                <c:pt idx="117">
                  <c:v>83</c:v>
                </c:pt>
                <c:pt idx="118">
                  <c:v>82</c:v>
                </c:pt>
                <c:pt idx="119">
                  <c:v>81</c:v>
                </c:pt>
                <c:pt idx="120">
                  <c:v>80</c:v>
                </c:pt>
                <c:pt idx="121">
                  <c:v>79</c:v>
                </c:pt>
                <c:pt idx="122">
                  <c:v>78</c:v>
                </c:pt>
                <c:pt idx="123">
                  <c:v>76.5</c:v>
                </c:pt>
                <c:pt idx="124">
                  <c:v>75</c:v>
                </c:pt>
                <c:pt idx="125">
                  <c:v>73.5</c:v>
                </c:pt>
                <c:pt idx="126">
                  <c:v>72</c:v>
                </c:pt>
                <c:pt idx="127">
                  <c:v>70.5</c:v>
                </c:pt>
                <c:pt idx="128">
                  <c:v>69</c:v>
                </c:pt>
                <c:pt idx="129">
                  <c:v>67.5</c:v>
                </c:pt>
                <c:pt idx="130">
                  <c:v>66</c:v>
                </c:pt>
                <c:pt idx="131">
                  <c:v>64.5</c:v>
                </c:pt>
                <c:pt idx="132">
                  <c:v>63</c:v>
                </c:pt>
                <c:pt idx="133">
                  <c:v>61.5</c:v>
                </c:pt>
                <c:pt idx="134">
                  <c:v>60</c:v>
                </c:pt>
                <c:pt idx="135">
                  <c:v>58.5</c:v>
                </c:pt>
                <c:pt idx="136">
                  <c:v>57</c:v>
                </c:pt>
                <c:pt idx="137">
                  <c:v>55.5</c:v>
                </c:pt>
                <c:pt idx="138">
                  <c:v>54</c:v>
                </c:pt>
                <c:pt idx="139">
                  <c:v>52.5</c:v>
                </c:pt>
                <c:pt idx="140">
                  <c:v>51</c:v>
                </c:pt>
                <c:pt idx="141">
                  <c:v>49.5</c:v>
                </c:pt>
                <c:pt idx="142">
                  <c:v>48</c:v>
                </c:pt>
                <c:pt idx="143">
                  <c:v>46.5</c:v>
                </c:pt>
                <c:pt idx="144">
                  <c:v>45</c:v>
                </c:pt>
                <c:pt idx="145">
                  <c:v>43.5</c:v>
                </c:pt>
                <c:pt idx="146">
                  <c:v>42</c:v>
                </c:pt>
                <c:pt idx="147">
                  <c:v>40.5</c:v>
                </c:pt>
                <c:pt idx="148">
                  <c:v>39</c:v>
                </c:pt>
                <c:pt idx="149">
                  <c:v>37.5</c:v>
                </c:pt>
                <c:pt idx="150">
                  <c:v>36</c:v>
                </c:pt>
                <c:pt idx="151">
                  <c:v>34.5</c:v>
                </c:pt>
                <c:pt idx="152">
                  <c:v>33</c:v>
                </c:pt>
                <c:pt idx="153">
                  <c:v>31.5</c:v>
                </c:pt>
                <c:pt idx="154">
                  <c:v>30</c:v>
                </c:pt>
                <c:pt idx="155">
                  <c:v>28.5</c:v>
                </c:pt>
                <c:pt idx="156">
                  <c:v>27</c:v>
                </c:pt>
                <c:pt idx="157">
                  <c:v>25.5</c:v>
                </c:pt>
                <c:pt idx="158">
                  <c:v>24</c:v>
                </c:pt>
                <c:pt idx="159">
                  <c:v>22.5</c:v>
                </c:pt>
                <c:pt idx="160">
                  <c:v>21</c:v>
                </c:pt>
                <c:pt idx="161">
                  <c:v>19.5</c:v>
                </c:pt>
                <c:pt idx="162">
                  <c:v>18</c:v>
                </c:pt>
                <c:pt idx="163">
                  <c:v>16.5</c:v>
                </c:pt>
                <c:pt idx="164">
                  <c:v>15</c:v>
                </c:pt>
                <c:pt idx="165">
                  <c:v>13.5</c:v>
                </c:pt>
                <c:pt idx="166">
                  <c:v>12</c:v>
                </c:pt>
                <c:pt idx="167">
                  <c:v>10.5</c:v>
                </c:pt>
                <c:pt idx="168">
                  <c:v>9</c:v>
                </c:pt>
                <c:pt idx="169">
                  <c:v>7.5</c:v>
                </c:pt>
                <c:pt idx="170">
                  <c:v>6</c:v>
                </c:pt>
                <c:pt idx="171">
                  <c:v>4.5</c:v>
                </c:pt>
                <c:pt idx="172">
                  <c:v>3</c:v>
                </c:pt>
                <c:pt idx="173">
                  <c:v>1.5</c:v>
                </c:pt>
                <c:pt idx="174">
                  <c:v>0</c:v>
                </c:pt>
                <c:pt idx="175">
                  <c:v>-1.5</c:v>
                </c:pt>
                <c:pt idx="176">
                  <c:v>-3</c:v>
                </c:pt>
                <c:pt idx="177">
                  <c:v>-4.5</c:v>
                </c:pt>
                <c:pt idx="178">
                  <c:v>-6</c:v>
                </c:pt>
                <c:pt idx="179">
                  <c:v>-7.5</c:v>
                </c:pt>
                <c:pt idx="180">
                  <c:v>-9</c:v>
                </c:pt>
                <c:pt idx="181">
                  <c:v>-10.5</c:v>
                </c:pt>
                <c:pt idx="182">
                  <c:v>-12</c:v>
                </c:pt>
                <c:pt idx="183">
                  <c:v>-13.5</c:v>
                </c:pt>
                <c:pt idx="184">
                  <c:v>-15</c:v>
                </c:pt>
                <c:pt idx="185">
                  <c:v>-16.5</c:v>
                </c:pt>
                <c:pt idx="186">
                  <c:v>-18</c:v>
                </c:pt>
                <c:pt idx="187">
                  <c:v>-19.5</c:v>
                </c:pt>
                <c:pt idx="188">
                  <c:v>-21</c:v>
                </c:pt>
                <c:pt idx="189">
                  <c:v>-22.5</c:v>
                </c:pt>
                <c:pt idx="190">
                  <c:v>-24</c:v>
                </c:pt>
                <c:pt idx="191">
                  <c:v>-25.5</c:v>
                </c:pt>
                <c:pt idx="192">
                  <c:v>-27</c:v>
                </c:pt>
                <c:pt idx="193">
                  <c:v>-28.5</c:v>
                </c:pt>
                <c:pt idx="194">
                  <c:v>-30</c:v>
                </c:pt>
                <c:pt idx="195">
                  <c:v>-31.5</c:v>
                </c:pt>
                <c:pt idx="196">
                  <c:v>-33</c:v>
                </c:pt>
                <c:pt idx="197">
                  <c:v>-34.5</c:v>
                </c:pt>
                <c:pt idx="198">
                  <c:v>-36</c:v>
                </c:pt>
                <c:pt idx="199">
                  <c:v>-37.5</c:v>
                </c:pt>
                <c:pt idx="200">
                  <c:v>-39</c:v>
                </c:pt>
                <c:pt idx="201">
                  <c:v>-40.5</c:v>
                </c:pt>
                <c:pt idx="202">
                  <c:v>-42</c:v>
                </c:pt>
                <c:pt idx="203">
                  <c:v>-43.5</c:v>
                </c:pt>
                <c:pt idx="204">
                  <c:v>-45</c:v>
                </c:pt>
                <c:pt idx="205">
                  <c:v>-46.5</c:v>
                </c:pt>
                <c:pt idx="206">
                  <c:v>-48</c:v>
                </c:pt>
                <c:pt idx="207">
                  <c:v>-49.5</c:v>
                </c:pt>
                <c:pt idx="208">
                  <c:v>-51</c:v>
                </c:pt>
                <c:pt idx="209">
                  <c:v>-52.5</c:v>
                </c:pt>
                <c:pt idx="210">
                  <c:v>-54</c:v>
                </c:pt>
                <c:pt idx="211">
                  <c:v>-55.5</c:v>
                </c:pt>
                <c:pt idx="212">
                  <c:v>-57</c:v>
                </c:pt>
                <c:pt idx="213">
                  <c:v>-58.5</c:v>
                </c:pt>
                <c:pt idx="214">
                  <c:v>-60</c:v>
                </c:pt>
                <c:pt idx="215">
                  <c:v>-61.5</c:v>
                </c:pt>
                <c:pt idx="216">
                  <c:v>-63</c:v>
                </c:pt>
                <c:pt idx="217">
                  <c:v>-64.5</c:v>
                </c:pt>
                <c:pt idx="218">
                  <c:v>-66</c:v>
                </c:pt>
                <c:pt idx="219">
                  <c:v>-67.5</c:v>
                </c:pt>
                <c:pt idx="220">
                  <c:v>-69</c:v>
                </c:pt>
                <c:pt idx="221">
                  <c:v>-70.5</c:v>
                </c:pt>
                <c:pt idx="222">
                  <c:v>-72</c:v>
                </c:pt>
                <c:pt idx="223">
                  <c:v>-73.5</c:v>
                </c:pt>
                <c:pt idx="224">
                  <c:v>-75</c:v>
                </c:pt>
                <c:pt idx="225">
                  <c:v>-76.5</c:v>
                </c:pt>
                <c:pt idx="226">
                  <c:v>-78</c:v>
                </c:pt>
                <c:pt idx="227">
                  <c:v>-79.5</c:v>
                </c:pt>
                <c:pt idx="228">
                  <c:v>-81</c:v>
                </c:pt>
                <c:pt idx="229">
                  <c:v>-82.5</c:v>
                </c:pt>
                <c:pt idx="230">
                  <c:v>-84</c:v>
                </c:pt>
                <c:pt idx="231">
                  <c:v>-85.5</c:v>
                </c:pt>
                <c:pt idx="232">
                  <c:v>-87</c:v>
                </c:pt>
                <c:pt idx="233">
                  <c:v>-88.5</c:v>
                </c:pt>
                <c:pt idx="234">
                  <c:v>-90</c:v>
                </c:pt>
                <c:pt idx="235">
                  <c:v>-91.5</c:v>
                </c:pt>
                <c:pt idx="236">
                  <c:v>-93</c:v>
                </c:pt>
                <c:pt idx="237">
                  <c:v>-94.5</c:v>
                </c:pt>
                <c:pt idx="238">
                  <c:v>-96</c:v>
                </c:pt>
                <c:pt idx="239">
                  <c:v>-97.5</c:v>
                </c:pt>
                <c:pt idx="240">
                  <c:v>-99</c:v>
                </c:pt>
                <c:pt idx="241">
                  <c:v>-100.5</c:v>
                </c:pt>
                <c:pt idx="242">
                  <c:v>-102</c:v>
                </c:pt>
                <c:pt idx="243">
                  <c:v>-103.5</c:v>
                </c:pt>
                <c:pt idx="244">
                  <c:v>-105</c:v>
                </c:pt>
                <c:pt idx="245">
                  <c:v>-106.5</c:v>
                </c:pt>
                <c:pt idx="246">
                  <c:v>-108</c:v>
                </c:pt>
                <c:pt idx="247">
                  <c:v>-109.5</c:v>
                </c:pt>
                <c:pt idx="248">
                  <c:v>-111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A6-B74B-B109-20FD15C42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721856"/>
        <c:axId val="169724160"/>
      </c:areaChart>
      <c:lineChart>
        <c:grouping val="standard"/>
        <c:varyColors val="0"/>
        <c:ser>
          <c:idx val="1"/>
          <c:order val="1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Data!$A$6:$A$254</c:f>
              <c:numCache>
                <c:formatCode>General</c:formatCode>
                <c:ptCount val="2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</c:numCache>
            </c:numRef>
          </c:cat>
          <c:val>
            <c:numRef>
              <c:f>Data!$E$6:$E$254</c:f>
              <c:numCache>
                <c:formatCode>General</c:formatCode>
                <c:ptCount val="249"/>
                <c:pt idx="0">
                  <c:v>200</c:v>
                </c:pt>
                <c:pt idx="1">
                  <c:v>199</c:v>
                </c:pt>
                <c:pt idx="2">
                  <c:v>198</c:v>
                </c:pt>
                <c:pt idx="3">
                  <c:v>197</c:v>
                </c:pt>
                <c:pt idx="4">
                  <c:v>196</c:v>
                </c:pt>
                <c:pt idx="5">
                  <c:v>195</c:v>
                </c:pt>
                <c:pt idx="6">
                  <c:v>194</c:v>
                </c:pt>
                <c:pt idx="7">
                  <c:v>193</c:v>
                </c:pt>
                <c:pt idx="8">
                  <c:v>192</c:v>
                </c:pt>
                <c:pt idx="9">
                  <c:v>191</c:v>
                </c:pt>
                <c:pt idx="10">
                  <c:v>190</c:v>
                </c:pt>
                <c:pt idx="11">
                  <c:v>189</c:v>
                </c:pt>
                <c:pt idx="12">
                  <c:v>188</c:v>
                </c:pt>
                <c:pt idx="13">
                  <c:v>187</c:v>
                </c:pt>
                <c:pt idx="14">
                  <c:v>186</c:v>
                </c:pt>
                <c:pt idx="15">
                  <c:v>185</c:v>
                </c:pt>
                <c:pt idx="16">
                  <c:v>184</c:v>
                </c:pt>
                <c:pt idx="17">
                  <c:v>183</c:v>
                </c:pt>
                <c:pt idx="18">
                  <c:v>182</c:v>
                </c:pt>
                <c:pt idx="19">
                  <c:v>181</c:v>
                </c:pt>
                <c:pt idx="20">
                  <c:v>180</c:v>
                </c:pt>
                <c:pt idx="21">
                  <c:v>179</c:v>
                </c:pt>
                <c:pt idx="22">
                  <c:v>178</c:v>
                </c:pt>
                <c:pt idx="23">
                  <c:v>177</c:v>
                </c:pt>
                <c:pt idx="24">
                  <c:v>176</c:v>
                </c:pt>
                <c:pt idx="25">
                  <c:v>175</c:v>
                </c:pt>
                <c:pt idx="26">
                  <c:v>174</c:v>
                </c:pt>
                <c:pt idx="27">
                  <c:v>173</c:v>
                </c:pt>
                <c:pt idx="28">
                  <c:v>172</c:v>
                </c:pt>
                <c:pt idx="29">
                  <c:v>171</c:v>
                </c:pt>
                <c:pt idx="30">
                  <c:v>170</c:v>
                </c:pt>
                <c:pt idx="31">
                  <c:v>169</c:v>
                </c:pt>
                <c:pt idx="32">
                  <c:v>168</c:v>
                </c:pt>
                <c:pt idx="33">
                  <c:v>167</c:v>
                </c:pt>
                <c:pt idx="34">
                  <c:v>166</c:v>
                </c:pt>
                <c:pt idx="35">
                  <c:v>165</c:v>
                </c:pt>
                <c:pt idx="36">
                  <c:v>164</c:v>
                </c:pt>
                <c:pt idx="37">
                  <c:v>163</c:v>
                </c:pt>
                <c:pt idx="38">
                  <c:v>162</c:v>
                </c:pt>
                <c:pt idx="39">
                  <c:v>161</c:v>
                </c:pt>
                <c:pt idx="40">
                  <c:v>160</c:v>
                </c:pt>
                <c:pt idx="41">
                  <c:v>159</c:v>
                </c:pt>
                <c:pt idx="42">
                  <c:v>158</c:v>
                </c:pt>
                <c:pt idx="43">
                  <c:v>157</c:v>
                </c:pt>
                <c:pt idx="44">
                  <c:v>156</c:v>
                </c:pt>
                <c:pt idx="45">
                  <c:v>155</c:v>
                </c:pt>
                <c:pt idx="46">
                  <c:v>154</c:v>
                </c:pt>
                <c:pt idx="47">
                  <c:v>153</c:v>
                </c:pt>
                <c:pt idx="48">
                  <c:v>152</c:v>
                </c:pt>
                <c:pt idx="49">
                  <c:v>151</c:v>
                </c:pt>
                <c:pt idx="50">
                  <c:v>150</c:v>
                </c:pt>
                <c:pt idx="51">
                  <c:v>149</c:v>
                </c:pt>
                <c:pt idx="52">
                  <c:v>148</c:v>
                </c:pt>
                <c:pt idx="53">
                  <c:v>147</c:v>
                </c:pt>
                <c:pt idx="54">
                  <c:v>146</c:v>
                </c:pt>
                <c:pt idx="55">
                  <c:v>145</c:v>
                </c:pt>
                <c:pt idx="56">
                  <c:v>144</c:v>
                </c:pt>
                <c:pt idx="57">
                  <c:v>143</c:v>
                </c:pt>
                <c:pt idx="58">
                  <c:v>142</c:v>
                </c:pt>
                <c:pt idx="59">
                  <c:v>141</c:v>
                </c:pt>
                <c:pt idx="60">
                  <c:v>140</c:v>
                </c:pt>
                <c:pt idx="61">
                  <c:v>139</c:v>
                </c:pt>
                <c:pt idx="62">
                  <c:v>138</c:v>
                </c:pt>
                <c:pt idx="63">
                  <c:v>137</c:v>
                </c:pt>
                <c:pt idx="64">
                  <c:v>136</c:v>
                </c:pt>
                <c:pt idx="65">
                  <c:v>135</c:v>
                </c:pt>
                <c:pt idx="66">
                  <c:v>134</c:v>
                </c:pt>
                <c:pt idx="67">
                  <c:v>133</c:v>
                </c:pt>
                <c:pt idx="68">
                  <c:v>132</c:v>
                </c:pt>
                <c:pt idx="69">
                  <c:v>131</c:v>
                </c:pt>
                <c:pt idx="70">
                  <c:v>130</c:v>
                </c:pt>
                <c:pt idx="71">
                  <c:v>129</c:v>
                </c:pt>
                <c:pt idx="72">
                  <c:v>128</c:v>
                </c:pt>
                <c:pt idx="73">
                  <c:v>127</c:v>
                </c:pt>
                <c:pt idx="74">
                  <c:v>126</c:v>
                </c:pt>
                <c:pt idx="75">
                  <c:v>125</c:v>
                </c:pt>
                <c:pt idx="76">
                  <c:v>124</c:v>
                </c:pt>
                <c:pt idx="77">
                  <c:v>123</c:v>
                </c:pt>
                <c:pt idx="78">
                  <c:v>122</c:v>
                </c:pt>
                <c:pt idx="79">
                  <c:v>121</c:v>
                </c:pt>
                <c:pt idx="80">
                  <c:v>120</c:v>
                </c:pt>
                <c:pt idx="81">
                  <c:v>119</c:v>
                </c:pt>
                <c:pt idx="82">
                  <c:v>118</c:v>
                </c:pt>
                <c:pt idx="83">
                  <c:v>117</c:v>
                </c:pt>
                <c:pt idx="84">
                  <c:v>116</c:v>
                </c:pt>
                <c:pt idx="85">
                  <c:v>115</c:v>
                </c:pt>
                <c:pt idx="86">
                  <c:v>114</c:v>
                </c:pt>
                <c:pt idx="87">
                  <c:v>113</c:v>
                </c:pt>
                <c:pt idx="88">
                  <c:v>112</c:v>
                </c:pt>
                <c:pt idx="89">
                  <c:v>111</c:v>
                </c:pt>
                <c:pt idx="90">
                  <c:v>110</c:v>
                </c:pt>
                <c:pt idx="91">
                  <c:v>109</c:v>
                </c:pt>
                <c:pt idx="92">
                  <c:v>108</c:v>
                </c:pt>
                <c:pt idx="93">
                  <c:v>107</c:v>
                </c:pt>
                <c:pt idx="94">
                  <c:v>106</c:v>
                </c:pt>
                <c:pt idx="95">
                  <c:v>105</c:v>
                </c:pt>
                <c:pt idx="96">
                  <c:v>104</c:v>
                </c:pt>
                <c:pt idx="97">
                  <c:v>103</c:v>
                </c:pt>
                <c:pt idx="98">
                  <c:v>102</c:v>
                </c:pt>
                <c:pt idx="99">
                  <c:v>101</c:v>
                </c:pt>
                <c:pt idx="100">
                  <c:v>100</c:v>
                </c:pt>
                <c:pt idx="101">
                  <c:v>99</c:v>
                </c:pt>
                <c:pt idx="102">
                  <c:v>98</c:v>
                </c:pt>
                <c:pt idx="103">
                  <c:v>97</c:v>
                </c:pt>
                <c:pt idx="104">
                  <c:v>96</c:v>
                </c:pt>
                <c:pt idx="105">
                  <c:v>95</c:v>
                </c:pt>
                <c:pt idx="106">
                  <c:v>94</c:v>
                </c:pt>
                <c:pt idx="107">
                  <c:v>93</c:v>
                </c:pt>
                <c:pt idx="108">
                  <c:v>92</c:v>
                </c:pt>
                <c:pt idx="109">
                  <c:v>91</c:v>
                </c:pt>
                <c:pt idx="110">
                  <c:v>90</c:v>
                </c:pt>
                <c:pt idx="111">
                  <c:v>89</c:v>
                </c:pt>
                <c:pt idx="112">
                  <c:v>88</c:v>
                </c:pt>
                <c:pt idx="113">
                  <c:v>87</c:v>
                </c:pt>
                <c:pt idx="114">
                  <c:v>86</c:v>
                </c:pt>
                <c:pt idx="115">
                  <c:v>85</c:v>
                </c:pt>
                <c:pt idx="116">
                  <c:v>84</c:v>
                </c:pt>
                <c:pt idx="117">
                  <c:v>83</c:v>
                </c:pt>
                <c:pt idx="118">
                  <c:v>82</c:v>
                </c:pt>
                <c:pt idx="119">
                  <c:v>81</c:v>
                </c:pt>
                <c:pt idx="120">
                  <c:v>80</c:v>
                </c:pt>
                <c:pt idx="121">
                  <c:v>79</c:v>
                </c:pt>
                <c:pt idx="122">
                  <c:v>78</c:v>
                </c:pt>
                <c:pt idx="123">
                  <c:v>77</c:v>
                </c:pt>
                <c:pt idx="124">
                  <c:v>76</c:v>
                </c:pt>
                <c:pt idx="125">
                  <c:v>75</c:v>
                </c:pt>
                <c:pt idx="126">
                  <c:v>74</c:v>
                </c:pt>
                <c:pt idx="127">
                  <c:v>73</c:v>
                </c:pt>
                <c:pt idx="128">
                  <c:v>72</c:v>
                </c:pt>
                <c:pt idx="129">
                  <c:v>71</c:v>
                </c:pt>
                <c:pt idx="130">
                  <c:v>70</c:v>
                </c:pt>
                <c:pt idx="131">
                  <c:v>69</c:v>
                </c:pt>
                <c:pt idx="132">
                  <c:v>68</c:v>
                </c:pt>
                <c:pt idx="133">
                  <c:v>67</c:v>
                </c:pt>
                <c:pt idx="134">
                  <c:v>66</c:v>
                </c:pt>
                <c:pt idx="135">
                  <c:v>65</c:v>
                </c:pt>
                <c:pt idx="136">
                  <c:v>64</c:v>
                </c:pt>
                <c:pt idx="137">
                  <c:v>63</c:v>
                </c:pt>
                <c:pt idx="138">
                  <c:v>62</c:v>
                </c:pt>
                <c:pt idx="139">
                  <c:v>61</c:v>
                </c:pt>
                <c:pt idx="140">
                  <c:v>60</c:v>
                </c:pt>
                <c:pt idx="141">
                  <c:v>59</c:v>
                </c:pt>
                <c:pt idx="142">
                  <c:v>58</c:v>
                </c:pt>
                <c:pt idx="143">
                  <c:v>57</c:v>
                </c:pt>
                <c:pt idx="144">
                  <c:v>56</c:v>
                </c:pt>
                <c:pt idx="145">
                  <c:v>55</c:v>
                </c:pt>
                <c:pt idx="146">
                  <c:v>54</c:v>
                </c:pt>
                <c:pt idx="147">
                  <c:v>53</c:v>
                </c:pt>
                <c:pt idx="148">
                  <c:v>52</c:v>
                </c:pt>
                <c:pt idx="149">
                  <c:v>51</c:v>
                </c:pt>
                <c:pt idx="150">
                  <c:v>50</c:v>
                </c:pt>
                <c:pt idx="151">
                  <c:v>49</c:v>
                </c:pt>
                <c:pt idx="152">
                  <c:v>48</c:v>
                </c:pt>
                <c:pt idx="153">
                  <c:v>47</c:v>
                </c:pt>
                <c:pt idx="154">
                  <c:v>46</c:v>
                </c:pt>
                <c:pt idx="155">
                  <c:v>45</c:v>
                </c:pt>
                <c:pt idx="156">
                  <c:v>44</c:v>
                </c:pt>
                <c:pt idx="157">
                  <c:v>43</c:v>
                </c:pt>
                <c:pt idx="158">
                  <c:v>42</c:v>
                </c:pt>
                <c:pt idx="159">
                  <c:v>41</c:v>
                </c:pt>
                <c:pt idx="160">
                  <c:v>40</c:v>
                </c:pt>
                <c:pt idx="161">
                  <c:v>39</c:v>
                </c:pt>
                <c:pt idx="162">
                  <c:v>38</c:v>
                </c:pt>
                <c:pt idx="163">
                  <c:v>37</c:v>
                </c:pt>
                <c:pt idx="164">
                  <c:v>36</c:v>
                </c:pt>
                <c:pt idx="165">
                  <c:v>35</c:v>
                </c:pt>
                <c:pt idx="166">
                  <c:v>34</c:v>
                </c:pt>
                <c:pt idx="167">
                  <c:v>33</c:v>
                </c:pt>
                <c:pt idx="168">
                  <c:v>32</c:v>
                </c:pt>
                <c:pt idx="169">
                  <c:v>31</c:v>
                </c:pt>
                <c:pt idx="170">
                  <c:v>30</c:v>
                </c:pt>
                <c:pt idx="171">
                  <c:v>29</c:v>
                </c:pt>
                <c:pt idx="172">
                  <c:v>28</c:v>
                </c:pt>
                <c:pt idx="173">
                  <c:v>27</c:v>
                </c:pt>
                <c:pt idx="174">
                  <c:v>26</c:v>
                </c:pt>
                <c:pt idx="175">
                  <c:v>25</c:v>
                </c:pt>
                <c:pt idx="176">
                  <c:v>24</c:v>
                </c:pt>
                <c:pt idx="177">
                  <c:v>23</c:v>
                </c:pt>
                <c:pt idx="178">
                  <c:v>22</c:v>
                </c:pt>
                <c:pt idx="179">
                  <c:v>21</c:v>
                </c:pt>
                <c:pt idx="180">
                  <c:v>20</c:v>
                </c:pt>
                <c:pt idx="181">
                  <c:v>19</c:v>
                </c:pt>
                <c:pt idx="182">
                  <c:v>18</c:v>
                </c:pt>
                <c:pt idx="183">
                  <c:v>17</c:v>
                </c:pt>
                <c:pt idx="184">
                  <c:v>16</c:v>
                </c:pt>
                <c:pt idx="185">
                  <c:v>15</c:v>
                </c:pt>
                <c:pt idx="186">
                  <c:v>14</c:v>
                </c:pt>
                <c:pt idx="187">
                  <c:v>13</c:v>
                </c:pt>
                <c:pt idx="188">
                  <c:v>12</c:v>
                </c:pt>
                <c:pt idx="189">
                  <c:v>11</c:v>
                </c:pt>
                <c:pt idx="190">
                  <c:v>10</c:v>
                </c:pt>
                <c:pt idx="191">
                  <c:v>9</c:v>
                </c:pt>
                <c:pt idx="192">
                  <c:v>8</c:v>
                </c:pt>
                <c:pt idx="193">
                  <c:v>7</c:v>
                </c:pt>
                <c:pt idx="194">
                  <c:v>6</c:v>
                </c:pt>
                <c:pt idx="195">
                  <c:v>5</c:v>
                </c:pt>
                <c:pt idx="196">
                  <c:v>4</c:v>
                </c:pt>
                <c:pt idx="197">
                  <c:v>3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-1</c:v>
                </c:pt>
                <c:pt idx="202">
                  <c:v>-2</c:v>
                </c:pt>
                <c:pt idx="203">
                  <c:v>-3</c:v>
                </c:pt>
                <c:pt idx="204">
                  <c:v>-4</c:v>
                </c:pt>
                <c:pt idx="205">
                  <c:v>-5</c:v>
                </c:pt>
                <c:pt idx="206">
                  <c:v>-6</c:v>
                </c:pt>
                <c:pt idx="207">
                  <c:v>-7</c:v>
                </c:pt>
                <c:pt idx="208">
                  <c:v>-8</c:v>
                </c:pt>
                <c:pt idx="209">
                  <c:v>-9</c:v>
                </c:pt>
                <c:pt idx="210">
                  <c:v>-10</c:v>
                </c:pt>
                <c:pt idx="211">
                  <c:v>-11</c:v>
                </c:pt>
                <c:pt idx="212">
                  <c:v>-12</c:v>
                </c:pt>
                <c:pt idx="213">
                  <c:v>-13</c:v>
                </c:pt>
                <c:pt idx="214">
                  <c:v>-14</c:v>
                </c:pt>
                <c:pt idx="215">
                  <c:v>-15</c:v>
                </c:pt>
                <c:pt idx="216">
                  <c:v>-16</c:v>
                </c:pt>
                <c:pt idx="217">
                  <c:v>-17</c:v>
                </c:pt>
                <c:pt idx="218">
                  <c:v>-18</c:v>
                </c:pt>
                <c:pt idx="219">
                  <c:v>-19</c:v>
                </c:pt>
                <c:pt idx="220">
                  <c:v>-20</c:v>
                </c:pt>
                <c:pt idx="221">
                  <c:v>-21</c:v>
                </c:pt>
                <c:pt idx="222">
                  <c:v>-22</c:v>
                </c:pt>
                <c:pt idx="223">
                  <c:v>-23</c:v>
                </c:pt>
                <c:pt idx="224">
                  <c:v>-24</c:v>
                </c:pt>
                <c:pt idx="225">
                  <c:v>-25</c:v>
                </c:pt>
                <c:pt idx="226">
                  <c:v>-26</c:v>
                </c:pt>
                <c:pt idx="227">
                  <c:v>-27</c:v>
                </c:pt>
                <c:pt idx="228">
                  <c:v>-28</c:v>
                </c:pt>
                <c:pt idx="229">
                  <c:v>-29</c:v>
                </c:pt>
                <c:pt idx="230">
                  <c:v>-30</c:v>
                </c:pt>
                <c:pt idx="231">
                  <c:v>-31</c:v>
                </c:pt>
                <c:pt idx="232">
                  <c:v>-32</c:v>
                </c:pt>
                <c:pt idx="233">
                  <c:v>-33</c:v>
                </c:pt>
                <c:pt idx="234">
                  <c:v>-34</c:v>
                </c:pt>
                <c:pt idx="235">
                  <c:v>-35</c:v>
                </c:pt>
                <c:pt idx="236">
                  <c:v>-36</c:v>
                </c:pt>
                <c:pt idx="237">
                  <c:v>-37</c:v>
                </c:pt>
                <c:pt idx="238">
                  <c:v>-38</c:v>
                </c:pt>
                <c:pt idx="239">
                  <c:v>-39</c:v>
                </c:pt>
                <c:pt idx="240">
                  <c:v>-40</c:v>
                </c:pt>
                <c:pt idx="241">
                  <c:v>-41</c:v>
                </c:pt>
                <c:pt idx="242">
                  <c:v>-42</c:v>
                </c:pt>
                <c:pt idx="243">
                  <c:v>-43</c:v>
                </c:pt>
                <c:pt idx="244">
                  <c:v>-44</c:v>
                </c:pt>
                <c:pt idx="245">
                  <c:v>-45</c:v>
                </c:pt>
                <c:pt idx="246">
                  <c:v>-46</c:v>
                </c:pt>
                <c:pt idx="247">
                  <c:v>-47</c:v>
                </c:pt>
                <c:pt idx="248">
                  <c:v>-48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CA6-B74B-B109-20FD15C42C36}"/>
            </c:ext>
          </c:extLst>
        </c:ser>
        <c:ser>
          <c:idx val="2"/>
          <c:order val="2"/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Data!$A$6:$A$254</c:f>
              <c:numCache>
                <c:formatCode>General</c:formatCode>
                <c:ptCount val="2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</c:numCache>
            </c:numRef>
          </c:cat>
          <c:val>
            <c:numRef>
              <c:f>Data!$F$6:$F$254</c:f>
              <c:numCache>
                <c:formatCode>General</c:formatCode>
                <c:ptCount val="249"/>
                <c:pt idx="0">
                  <c:v>261</c:v>
                </c:pt>
                <c:pt idx="1">
                  <c:v>259.5</c:v>
                </c:pt>
                <c:pt idx="2">
                  <c:v>258</c:v>
                </c:pt>
                <c:pt idx="3">
                  <c:v>256.5</c:v>
                </c:pt>
                <c:pt idx="4">
                  <c:v>255</c:v>
                </c:pt>
                <c:pt idx="5">
                  <c:v>253.5</c:v>
                </c:pt>
                <c:pt idx="6">
                  <c:v>252</c:v>
                </c:pt>
                <c:pt idx="7">
                  <c:v>250.5</c:v>
                </c:pt>
                <c:pt idx="8">
                  <c:v>249</c:v>
                </c:pt>
                <c:pt idx="9">
                  <c:v>247.5</c:v>
                </c:pt>
                <c:pt idx="10">
                  <c:v>246</c:v>
                </c:pt>
                <c:pt idx="11">
                  <c:v>244.5</c:v>
                </c:pt>
                <c:pt idx="12">
                  <c:v>243</c:v>
                </c:pt>
                <c:pt idx="13">
                  <c:v>241.5</c:v>
                </c:pt>
                <c:pt idx="14">
                  <c:v>240</c:v>
                </c:pt>
                <c:pt idx="15">
                  <c:v>238.5</c:v>
                </c:pt>
                <c:pt idx="16">
                  <c:v>237</c:v>
                </c:pt>
                <c:pt idx="17">
                  <c:v>235.5</c:v>
                </c:pt>
                <c:pt idx="18">
                  <c:v>234</c:v>
                </c:pt>
                <c:pt idx="19">
                  <c:v>232.5</c:v>
                </c:pt>
                <c:pt idx="20">
                  <c:v>231</c:v>
                </c:pt>
                <c:pt idx="21">
                  <c:v>229.5</c:v>
                </c:pt>
                <c:pt idx="22">
                  <c:v>228</c:v>
                </c:pt>
                <c:pt idx="23">
                  <c:v>226.5</c:v>
                </c:pt>
                <c:pt idx="24">
                  <c:v>225</c:v>
                </c:pt>
                <c:pt idx="25">
                  <c:v>223.5</c:v>
                </c:pt>
                <c:pt idx="26">
                  <c:v>222</c:v>
                </c:pt>
                <c:pt idx="27">
                  <c:v>220.5</c:v>
                </c:pt>
                <c:pt idx="28">
                  <c:v>219</c:v>
                </c:pt>
                <c:pt idx="29">
                  <c:v>217.5</c:v>
                </c:pt>
                <c:pt idx="30">
                  <c:v>216</c:v>
                </c:pt>
                <c:pt idx="31">
                  <c:v>214.5</c:v>
                </c:pt>
                <c:pt idx="32">
                  <c:v>213</c:v>
                </c:pt>
                <c:pt idx="33">
                  <c:v>211.5</c:v>
                </c:pt>
                <c:pt idx="34">
                  <c:v>210</c:v>
                </c:pt>
                <c:pt idx="35">
                  <c:v>208.5</c:v>
                </c:pt>
                <c:pt idx="36">
                  <c:v>207</c:v>
                </c:pt>
                <c:pt idx="37">
                  <c:v>205.5</c:v>
                </c:pt>
                <c:pt idx="38">
                  <c:v>204</c:v>
                </c:pt>
                <c:pt idx="39">
                  <c:v>202.5</c:v>
                </c:pt>
                <c:pt idx="40">
                  <c:v>201</c:v>
                </c:pt>
                <c:pt idx="41">
                  <c:v>199.5</c:v>
                </c:pt>
                <c:pt idx="42">
                  <c:v>198</c:v>
                </c:pt>
                <c:pt idx="43">
                  <c:v>196.5</c:v>
                </c:pt>
                <c:pt idx="44">
                  <c:v>195</c:v>
                </c:pt>
                <c:pt idx="45">
                  <c:v>193.5</c:v>
                </c:pt>
                <c:pt idx="46">
                  <c:v>192</c:v>
                </c:pt>
                <c:pt idx="47">
                  <c:v>190.5</c:v>
                </c:pt>
                <c:pt idx="48">
                  <c:v>189</c:v>
                </c:pt>
                <c:pt idx="49">
                  <c:v>187.5</c:v>
                </c:pt>
                <c:pt idx="50">
                  <c:v>186</c:v>
                </c:pt>
                <c:pt idx="51">
                  <c:v>184.5</c:v>
                </c:pt>
                <c:pt idx="52">
                  <c:v>183</c:v>
                </c:pt>
                <c:pt idx="53">
                  <c:v>181.5</c:v>
                </c:pt>
                <c:pt idx="54">
                  <c:v>180</c:v>
                </c:pt>
                <c:pt idx="55">
                  <c:v>178.5</c:v>
                </c:pt>
                <c:pt idx="56">
                  <c:v>177</c:v>
                </c:pt>
                <c:pt idx="57">
                  <c:v>175.5</c:v>
                </c:pt>
                <c:pt idx="58">
                  <c:v>174</c:v>
                </c:pt>
                <c:pt idx="59">
                  <c:v>172.5</c:v>
                </c:pt>
                <c:pt idx="60">
                  <c:v>171</c:v>
                </c:pt>
                <c:pt idx="61">
                  <c:v>169.5</c:v>
                </c:pt>
                <c:pt idx="62">
                  <c:v>168</c:v>
                </c:pt>
                <c:pt idx="63">
                  <c:v>166.5</c:v>
                </c:pt>
                <c:pt idx="64">
                  <c:v>165</c:v>
                </c:pt>
                <c:pt idx="65">
                  <c:v>163.5</c:v>
                </c:pt>
                <c:pt idx="66">
                  <c:v>162</c:v>
                </c:pt>
                <c:pt idx="67">
                  <c:v>160.5</c:v>
                </c:pt>
                <c:pt idx="68">
                  <c:v>159</c:v>
                </c:pt>
                <c:pt idx="69">
                  <c:v>157.5</c:v>
                </c:pt>
                <c:pt idx="70">
                  <c:v>156</c:v>
                </c:pt>
                <c:pt idx="71">
                  <c:v>154.5</c:v>
                </c:pt>
                <c:pt idx="72">
                  <c:v>153</c:v>
                </c:pt>
                <c:pt idx="73">
                  <c:v>151.5</c:v>
                </c:pt>
                <c:pt idx="74">
                  <c:v>150</c:v>
                </c:pt>
                <c:pt idx="75">
                  <c:v>148.5</c:v>
                </c:pt>
                <c:pt idx="76">
                  <c:v>147</c:v>
                </c:pt>
                <c:pt idx="77">
                  <c:v>145.5</c:v>
                </c:pt>
                <c:pt idx="78">
                  <c:v>144</c:v>
                </c:pt>
                <c:pt idx="79">
                  <c:v>142.5</c:v>
                </c:pt>
                <c:pt idx="80">
                  <c:v>141</c:v>
                </c:pt>
                <c:pt idx="81">
                  <c:v>139.5</c:v>
                </c:pt>
                <c:pt idx="82">
                  <c:v>138</c:v>
                </c:pt>
                <c:pt idx="83">
                  <c:v>136.5</c:v>
                </c:pt>
                <c:pt idx="84">
                  <c:v>135</c:v>
                </c:pt>
                <c:pt idx="85">
                  <c:v>133.5</c:v>
                </c:pt>
                <c:pt idx="86">
                  <c:v>132</c:v>
                </c:pt>
                <c:pt idx="87">
                  <c:v>130.5</c:v>
                </c:pt>
                <c:pt idx="88">
                  <c:v>129</c:v>
                </c:pt>
                <c:pt idx="89">
                  <c:v>127.5</c:v>
                </c:pt>
                <c:pt idx="90">
                  <c:v>126</c:v>
                </c:pt>
                <c:pt idx="91">
                  <c:v>124.5</c:v>
                </c:pt>
                <c:pt idx="92">
                  <c:v>123</c:v>
                </c:pt>
                <c:pt idx="93">
                  <c:v>121.5</c:v>
                </c:pt>
                <c:pt idx="94">
                  <c:v>120</c:v>
                </c:pt>
                <c:pt idx="95">
                  <c:v>118.5</c:v>
                </c:pt>
                <c:pt idx="96">
                  <c:v>117</c:v>
                </c:pt>
                <c:pt idx="97">
                  <c:v>115.5</c:v>
                </c:pt>
                <c:pt idx="98">
                  <c:v>114</c:v>
                </c:pt>
                <c:pt idx="99">
                  <c:v>112.5</c:v>
                </c:pt>
                <c:pt idx="100">
                  <c:v>111</c:v>
                </c:pt>
                <c:pt idx="101">
                  <c:v>109.5</c:v>
                </c:pt>
                <c:pt idx="102">
                  <c:v>108</c:v>
                </c:pt>
                <c:pt idx="103">
                  <c:v>106.5</c:v>
                </c:pt>
                <c:pt idx="104">
                  <c:v>105</c:v>
                </c:pt>
                <c:pt idx="105">
                  <c:v>103.5</c:v>
                </c:pt>
                <c:pt idx="106">
                  <c:v>102</c:v>
                </c:pt>
                <c:pt idx="107">
                  <c:v>100.5</c:v>
                </c:pt>
                <c:pt idx="108">
                  <c:v>99</c:v>
                </c:pt>
                <c:pt idx="109">
                  <c:v>97.5</c:v>
                </c:pt>
                <c:pt idx="110">
                  <c:v>96</c:v>
                </c:pt>
                <c:pt idx="111">
                  <c:v>94.5</c:v>
                </c:pt>
                <c:pt idx="112">
                  <c:v>93</c:v>
                </c:pt>
                <c:pt idx="113">
                  <c:v>91.5</c:v>
                </c:pt>
                <c:pt idx="114">
                  <c:v>90</c:v>
                </c:pt>
                <c:pt idx="115">
                  <c:v>88.5</c:v>
                </c:pt>
                <c:pt idx="116">
                  <c:v>87</c:v>
                </c:pt>
                <c:pt idx="117">
                  <c:v>85.5</c:v>
                </c:pt>
                <c:pt idx="118">
                  <c:v>84</c:v>
                </c:pt>
                <c:pt idx="119">
                  <c:v>82.5</c:v>
                </c:pt>
                <c:pt idx="120">
                  <c:v>81</c:v>
                </c:pt>
                <c:pt idx="121">
                  <c:v>79.5</c:v>
                </c:pt>
                <c:pt idx="122">
                  <c:v>78</c:v>
                </c:pt>
                <c:pt idx="123">
                  <c:v>76.5</c:v>
                </c:pt>
                <c:pt idx="124">
                  <c:v>75</c:v>
                </c:pt>
                <c:pt idx="125">
                  <c:v>73.5</c:v>
                </c:pt>
                <c:pt idx="126">
                  <c:v>72</c:v>
                </c:pt>
                <c:pt idx="127">
                  <c:v>70.5</c:v>
                </c:pt>
                <c:pt idx="128">
                  <c:v>69</c:v>
                </c:pt>
                <c:pt idx="129">
                  <c:v>67.5</c:v>
                </c:pt>
                <c:pt idx="130">
                  <c:v>66</c:v>
                </c:pt>
                <c:pt idx="131">
                  <c:v>64.5</c:v>
                </c:pt>
                <c:pt idx="132">
                  <c:v>63</c:v>
                </c:pt>
                <c:pt idx="133">
                  <c:v>61.5</c:v>
                </c:pt>
                <c:pt idx="134">
                  <c:v>60</c:v>
                </c:pt>
                <c:pt idx="135">
                  <c:v>58.5</c:v>
                </c:pt>
                <c:pt idx="136">
                  <c:v>57</c:v>
                </c:pt>
                <c:pt idx="137">
                  <c:v>55.5</c:v>
                </c:pt>
                <c:pt idx="138">
                  <c:v>54</c:v>
                </c:pt>
                <c:pt idx="139">
                  <c:v>52.5</c:v>
                </c:pt>
                <c:pt idx="140">
                  <c:v>51</c:v>
                </c:pt>
                <c:pt idx="141">
                  <c:v>49.5</c:v>
                </c:pt>
                <c:pt idx="142">
                  <c:v>48</c:v>
                </c:pt>
                <c:pt idx="143">
                  <c:v>46.5</c:v>
                </c:pt>
                <c:pt idx="144">
                  <c:v>45</c:v>
                </c:pt>
                <c:pt idx="145">
                  <c:v>43.5</c:v>
                </c:pt>
                <c:pt idx="146">
                  <c:v>42</c:v>
                </c:pt>
                <c:pt idx="147">
                  <c:v>40.5</c:v>
                </c:pt>
                <c:pt idx="148">
                  <c:v>39</c:v>
                </c:pt>
                <c:pt idx="149">
                  <c:v>37.5</c:v>
                </c:pt>
                <c:pt idx="150">
                  <c:v>36</c:v>
                </c:pt>
                <c:pt idx="151">
                  <c:v>34.5</c:v>
                </c:pt>
                <c:pt idx="152">
                  <c:v>33</c:v>
                </c:pt>
                <c:pt idx="153">
                  <c:v>31.5</c:v>
                </c:pt>
                <c:pt idx="154">
                  <c:v>30</c:v>
                </c:pt>
                <c:pt idx="155">
                  <c:v>28.5</c:v>
                </c:pt>
                <c:pt idx="156">
                  <c:v>27</c:v>
                </c:pt>
                <c:pt idx="157">
                  <c:v>25.5</c:v>
                </c:pt>
                <c:pt idx="158">
                  <c:v>24</c:v>
                </c:pt>
                <c:pt idx="159">
                  <c:v>22.5</c:v>
                </c:pt>
                <c:pt idx="160">
                  <c:v>21</c:v>
                </c:pt>
                <c:pt idx="161">
                  <c:v>19.5</c:v>
                </c:pt>
                <c:pt idx="162">
                  <c:v>18</c:v>
                </c:pt>
                <c:pt idx="163">
                  <c:v>16.5</c:v>
                </c:pt>
                <c:pt idx="164">
                  <c:v>15</c:v>
                </c:pt>
                <c:pt idx="165">
                  <c:v>13.5</c:v>
                </c:pt>
                <c:pt idx="166">
                  <c:v>12</c:v>
                </c:pt>
                <c:pt idx="167">
                  <c:v>10.5</c:v>
                </c:pt>
                <c:pt idx="168">
                  <c:v>9</c:v>
                </c:pt>
                <c:pt idx="169">
                  <c:v>7.5</c:v>
                </c:pt>
                <c:pt idx="170">
                  <c:v>6</c:v>
                </c:pt>
                <c:pt idx="171">
                  <c:v>4.5</c:v>
                </c:pt>
                <c:pt idx="172">
                  <c:v>3</c:v>
                </c:pt>
                <c:pt idx="173">
                  <c:v>1.5</c:v>
                </c:pt>
                <c:pt idx="174">
                  <c:v>0</c:v>
                </c:pt>
                <c:pt idx="175">
                  <c:v>-1.5</c:v>
                </c:pt>
                <c:pt idx="176">
                  <c:v>-3</c:v>
                </c:pt>
                <c:pt idx="177">
                  <c:v>-4.5</c:v>
                </c:pt>
                <c:pt idx="178">
                  <c:v>-6</c:v>
                </c:pt>
                <c:pt idx="179">
                  <c:v>-7.5</c:v>
                </c:pt>
                <c:pt idx="180">
                  <c:v>-9</c:v>
                </c:pt>
                <c:pt idx="181">
                  <c:v>-10.5</c:v>
                </c:pt>
                <c:pt idx="182">
                  <c:v>-12</c:v>
                </c:pt>
                <c:pt idx="183">
                  <c:v>-13.5</c:v>
                </c:pt>
                <c:pt idx="184">
                  <c:v>-15</c:v>
                </c:pt>
                <c:pt idx="185">
                  <c:v>-16.5</c:v>
                </c:pt>
                <c:pt idx="186">
                  <c:v>-18</c:v>
                </c:pt>
                <c:pt idx="187">
                  <c:v>-19.5</c:v>
                </c:pt>
                <c:pt idx="188">
                  <c:v>-21</c:v>
                </c:pt>
                <c:pt idx="189">
                  <c:v>-22.5</c:v>
                </c:pt>
                <c:pt idx="190">
                  <c:v>-24</c:v>
                </c:pt>
                <c:pt idx="191">
                  <c:v>-25.5</c:v>
                </c:pt>
                <c:pt idx="192">
                  <c:v>-27</c:v>
                </c:pt>
                <c:pt idx="193">
                  <c:v>-28.5</c:v>
                </c:pt>
                <c:pt idx="194">
                  <c:v>-30</c:v>
                </c:pt>
                <c:pt idx="195">
                  <c:v>-31.5</c:v>
                </c:pt>
                <c:pt idx="196">
                  <c:v>-33</c:v>
                </c:pt>
                <c:pt idx="197">
                  <c:v>-34.5</c:v>
                </c:pt>
                <c:pt idx="198">
                  <c:v>-36</c:v>
                </c:pt>
                <c:pt idx="199">
                  <c:v>-37.5</c:v>
                </c:pt>
                <c:pt idx="200">
                  <c:v>-39</c:v>
                </c:pt>
                <c:pt idx="201">
                  <c:v>-40.5</c:v>
                </c:pt>
                <c:pt idx="202">
                  <c:v>-42</c:v>
                </c:pt>
                <c:pt idx="203">
                  <c:v>-43.5</c:v>
                </c:pt>
                <c:pt idx="204">
                  <c:v>-45</c:v>
                </c:pt>
                <c:pt idx="205">
                  <c:v>-46.5</c:v>
                </c:pt>
                <c:pt idx="206">
                  <c:v>-48</c:v>
                </c:pt>
                <c:pt idx="207">
                  <c:v>-49.5</c:v>
                </c:pt>
                <c:pt idx="208">
                  <c:v>-51</c:v>
                </c:pt>
                <c:pt idx="209">
                  <c:v>-52.5</c:v>
                </c:pt>
                <c:pt idx="210">
                  <c:v>-54</c:v>
                </c:pt>
                <c:pt idx="211">
                  <c:v>-55.5</c:v>
                </c:pt>
                <c:pt idx="212">
                  <c:v>-57</c:v>
                </c:pt>
                <c:pt idx="213">
                  <c:v>-58.5</c:v>
                </c:pt>
                <c:pt idx="214">
                  <c:v>-60</c:v>
                </c:pt>
                <c:pt idx="215">
                  <c:v>-61.5</c:v>
                </c:pt>
                <c:pt idx="216">
                  <c:v>-63</c:v>
                </c:pt>
                <c:pt idx="217">
                  <c:v>-64.5</c:v>
                </c:pt>
                <c:pt idx="218">
                  <c:v>-66</c:v>
                </c:pt>
                <c:pt idx="219">
                  <c:v>-67.5</c:v>
                </c:pt>
                <c:pt idx="220">
                  <c:v>-69</c:v>
                </c:pt>
                <c:pt idx="221">
                  <c:v>-70.5</c:v>
                </c:pt>
                <c:pt idx="222">
                  <c:v>-72</c:v>
                </c:pt>
                <c:pt idx="223">
                  <c:v>-73.5</c:v>
                </c:pt>
                <c:pt idx="224">
                  <c:v>-75</c:v>
                </c:pt>
                <c:pt idx="225">
                  <c:v>-76.5</c:v>
                </c:pt>
                <c:pt idx="226">
                  <c:v>-78</c:v>
                </c:pt>
                <c:pt idx="227">
                  <c:v>-79.5</c:v>
                </c:pt>
                <c:pt idx="228">
                  <c:v>-81</c:v>
                </c:pt>
                <c:pt idx="229">
                  <c:v>-82.5</c:v>
                </c:pt>
                <c:pt idx="230">
                  <c:v>-84</c:v>
                </c:pt>
                <c:pt idx="231">
                  <c:v>-85.5</c:v>
                </c:pt>
                <c:pt idx="232">
                  <c:v>-87</c:v>
                </c:pt>
                <c:pt idx="233">
                  <c:v>-88.5</c:v>
                </c:pt>
                <c:pt idx="234">
                  <c:v>-90</c:v>
                </c:pt>
                <c:pt idx="235">
                  <c:v>-91.5</c:v>
                </c:pt>
                <c:pt idx="236">
                  <c:v>-93</c:v>
                </c:pt>
                <c:pt idx="237">
                  <c:v>-94.5</c:v>
                </c:pt>
                <c:pt idx="238">
                  <c:v>-96</c:v>
                </c:pt>
                <c:pt idx="239">
                  <c:v>-97.5</c:v>
                </c:pt>
                <c:pt idx="240">
                  <c:v>-99</c:v>
                </c:pt>
                <c:pt idx="241">
                  <c:v>-100.5</c:v>
                </c:pt>
                <c:pt idx="242">
                  <c:v>-102</c:v>
                </c:pt>
                <c:pt idx="243">
                  <c:v>-103.5</c:v>
                </c:pt>
                <c:pt idx="244">
                  <c:v>-105</c:v>
                </c:pt>
                <c:pt idx="245">
                  <c:v>-106.5</c:v>
                </c:pt>
                <c:pt idx="246">
                  <c:v>-108</c:v>
                </c:pt>
                <c:pt idx="247">
                  <c:v>-109.5</c:v>
                </c:pt>
                <c:pt idx="248">
                  <c:v>-111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CA6-B74B-B109-20FD15C42C36}"/>
            </c:ext>
          </c:extLst>
        </c:ser>
        <c:ser>
          <c:idx val="3"/>
          <c:order val="3"/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Data!$A$6:$A$254</c:f>
              <c:numCache>
                <c:formatCode>General</c:formatCode>
                <c:ptCount val="2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</c:numCache>
            </c:numRef>
          </c:cat>
          <c:val>
            <c:numRef>
              <c:f>Data!$G$6:$G$254</c:f>
              <c:numCache>
                <c:formatCode>General</c:formatCode>
                <c:ptCount val="249"/>
                <c:pt idx="0">
                  <c:v>180</c:v>
                </c:pt>
                <c:pt idx="1">
                  <c:v>179.25</c:v>
                </c:pt>
                <c:pt idx="2">
                  <c:v>178.5</c:v>
                </c:pt>
                <c:pt idx="3">
                  <c:v>177.75</c:v>
                </c:pt>
                <c:pt idx="4">
                  <c:v>177</c:v>
                </c:pt>
                <c:pt idx="5">
                  <c:v>176.25</c:v>
                </c:pt>
                <c:pt idx="6">
                  <c:v>175.5</c:v>
                </c:pt>
                <c:pt idx="7">
                  <c:v>174.75</c:v>
                </c:pt>
                <c:pt idx="8">
                  <c:v>174</c:v>
                </c:pt>
                <c:pt idx="9">
                  <c:v>173.25</c:v>
                </c:pt>
                <c:pt idx="10">
                  <c:v>172.5</c:v>
                </c:pt>
                <c:pt idx="11">
                  <c:v>171.75</c:v>
                </c:pt>
                <c:pt idx="12">
                  <c:v>171</c:v>
                </c:pt>
                <c:pt idx="13">
                  <c:v>170.25</c:v>
                </c:pt>
                <c:pt idx="14">
                  <c:v>169.5</c:v>
                </c:pt>
                <c:pt idx="15">
                  <c:v>168.75</c:v>
                </c:pt>
                <c:pt idx="16">
                  <c:v>168</c:v>
                </c:pt>
                <c:pt idx="17">
                  <c:v>167.25</c:v>
                </c:pt>
                <c:pt idx="18">
                  <c:v>166.5</c:v>
                </c:pt>
                <c:pt idx="19">
                  <c:v>165.75</c:v>
                </c:pt>
                <c:pt idx="20">
                  <c:v>165</c:v>
                </c:pt>
                <c:pt idx="21">
                  <c:v>164.25</c:v>
                </c:pt>
                <c:pt idx="22">
                  <c:v>163.5</c:v>
                </c:pt>
                <c:pt idx="23">
                  <c:v>162.75</c:v>
                </c:pt>
                <c:pt idx="24">
                  <c:v>162</c:v>
                </c:pt>
                <c:pt idx="25">
                  <c:v>161.25</c:v>
                </c:pt>
                <c:pt idx="26">
                  <c:v>160.5</c:v>
                </c:pt>
                <c:pt idx="27">
                  <c:v>159.75</c:v>
                </c:pt>
                <c:pt idx="28">
                  <c:v>159</c:v>
                </c:pt>
                <c:pt idx="29">
                  <c:v>158.25</c:v>
                </c:pt>
                <c:pt idx="30">
                  <c:v>157.5</c:v>
                </c:pt>
                <c:pt idx="31">
                  <c:v>156.75</c:v>
                </c:pt>
                <c:pt idx="32">
                  <c:v>156</c:v>
                </c:pt>
                <c:pt idx="33">
                  <c:v>155.25</c:v>
                </c:pt>
                <c:pt idx="34">
                  <c:v>154.5</c:v>
                </c:pt>
                <c:pt idx="35">
                  <c:v>153.75</c:v>
                </c:pt>
                <c:pt idx="36">
                  <c:v>153</c:v>
                </c:pt>
                <c:pt idx="37">
                  <c:v>152.25</c:v>
                </c:pt>
                <c:pt idx="38">
                  <c:v>151.5</c:v>
                </c:pt>
                <c:pt idx="39">
                  <c:v>150.75</c:v>
                </c:pt>
                <c:pt idx="40">
                  <c:v>150</c:v>
                </c:pt>
                <c:pt idx="41">
                  <c:v>149.25</c:v>
                </c:pt>
                <c:pt idx="42">
                  <c:v>148.5</c:v>
                </c:pt>
                <c:pt idx="43">
                  <c:v>147.75</c:v>
                </c:pt>
                <c:pt idx="44">
                  <c:v>147</c:v>
                </c:pt>
                <c:pt idx="45">
                  <c:v>146.25</c:v>
                </c:pt>
                <c:pt idx="46">
                  <c:v>145.5</c:v>
                </c:pt>
                <c:pt idx="47">
                  <c:v>144.75</c:v>
                </c:pt>
                <c:pt idx="48">
                  <c:v>144</c:v>
                </c:pt>
                <c:pt idx="49">
                  <c:v>143.25</c:v>
                </c:pt>
                <c:pt idx="50">
                  <c:v>142.5</c:v>
                </c:pt>
                <c:pt idx="51">
                  <c:v>141.75</c:v>
                </c:pt>
                <c:pt idx="52">
                  <c:v>141</c:v>
                </c:pt>
                <c:pt idx="53">
                  <c:v>140.25</c:v>
                </c:pt>
                <c:pt idx="54">
                  <c:v>139.5</c:v>
                </c:pt>
                <c:pt idx="55">
                  <c:v>138.75</c:v>
                </c:pt>
                <c:pt idx="56">
                  <c:v>138</c:v>
                </c:pt>
                <c:pt idx="57">
                  <c:v>137.25</c:v>
                </c:pt>
                <c:pt idx="58">
                  <c:v>136.5</c:v>
                </c:pt>
                <c:pt idx="59">
                  <c:v>135.75</c:v>
                </c:pt>
                <c:pt idx="60">
                  <c:v>135</c:v>
                </c:pt>
                <c:pt idx="61">
                  <c:v>134.25</c:v>
                </c:pt>
                <c:pt idx="62">
                  <c:v>133.5</c:v>
                </c:pt>
                <c:pt idx="63">
                  <c:v>132.75</c:v>
                </c:pt>
                <c:pt idx="64">
                  <c:v>132</c:v>
                </c:pt>
                <c:pt idx="65">
                  <c:v>131.25</c:v>
                </c:pt>
                <c:pt idx="66">
                  <c:v>130.5</c:v>
                </c:pt>
                <c:pt idx="67">
                  <c:v>129.75</c:v>
                </c:pt>
                <c:pt idx="68">
                  <c:v>129</c:v>
                </c:pt>
                <c:pt idx="69">
                  <c:v>128.25</c:v>
                </c:pt>
                <c:pt idx="70">
                  <c:v>127.5</c:v>
                </c:pt>
                <c:pt idx="71">
                  <c:v>126.75</c:v>
                </c:pt>
                <c:pt idx="72">
                  <c:v>126</c:v>
                </c:pt>
                <c:pt idx="73">
                  <c:v>125.25</c:v>
                </c:pt>
                <c:pt idx="74">
                  <c:v>124.5</c:v>
                </c:pt>
                <c:pt idx="75">
                  <c:v>123.75</c:v>
                </c:pt>
                <c:pt idx="76">
                  <c:v>123</c:v>
                </c:pt>
                <c:pt idx="77">
                  <c:v>122.25</c:v>
                </c:pt>
                <c:pt idx="78">
                  <c:v>121.5</c:v>
                </c:pt>
                <c:pt idx="79">
                  <c:v>120.75</c:v>
                </c:pt>
                <c:pt idx="80">
                  <c:v>120</c:v>
                </c:pt>
                <c:pt idx="81">
                  <c:v>119.25</c:v>
                </c:pt>
                <c:pt idx="82">
                  <c:v>118.5</c:v>
                </c:pt>
                <c:pt idx="83">
                  <c:v>117.75</c:v>
                </c:pt>
                <c:pt idx="84">
                  <c:v>117</c:v>
                </c:pt>
                <c:pt idx="85">
                  <c:v>116.25</c:v>
                </c:pt>
                <c:pt idx="86">
                  <c:v>115.5</c:v>
                </c:pt>
                <c:pt idx="87">
                  <c:v>114.75</c:v>
                </c:pt>
                <c:pt idx="88">
                  <c:v>114</c:v>
                </c:pt>
                <c:pt idx="89">
                  <c:v>113.25</c:v>
                </c:pt>
                <c:pt idx="90">
                  <c:v>112.5</c:v>
                </c:pt>
                <c:pt idx="91">
                  <c:v>111.75</c:v>
                </c:pt>
                <c:pt idx="92">
                  <c:v>111</c:v>
                </c:pt>
                <c:pt idx="93">
                  <c:v>110.25</c:v>
                </c:pt>
                <c:pt idx="94">
                  <c:v>109.5</c:v>
                </c:pt>
                <c:pt idx="95">
                  <c:v>108.75</c:v>
                </c:pt>
                <c:pt idx="96">
                  <c:v>108</c:v>
                </c:pt>
                <c:pt idx="97">
                  <c:v>107.25</c:v>
                </c:pt>
                <c:pt idx="98">
                  <c:v>106.5</c:v>
                </c:pt>
                <c:pt idx="99">
                  <c:v>105.75</c:v>
                </c:pt>
                <c:pt idx="100">
                  <c:v>105</c:v>
                </c:pt>
                <c:pt idx="101">
                  <c:v>104.25</c:v>
                </c:pt>
                <c:pt idx="102">
                  <c:v>103.5</c:v>
                </c:pt>
                <c:pt idx="103">
                  <c:v>102.75</c:v>
                </c:pt>
                <c:pt idx="104">
                  <c:v>102</c:v>
                </c:pt>
                <c:pt idx="105">
                  <c:v>101.25</c:v>
                </c:pt>
                <c:pt idx="106">
                  <c:v>100.5</c:v>
                </c:pt>
                <c:pt idx="107">
                  <c:v>99.75</c:v>
                </c:pt>
                <c:pt idx="108">
                  <c:v>99</c:v>
                </c:pt>
                <c:pt idx="109">
                  <c:v>98.25</c:v>
                </c:pt>
                <c:pt idx="110">
                  <c:v>97.5</c:v>
                </c:pt>
                <c:pt idx="111">
                  <c:v>96.75</c:v>
                </c:pt>
                <c:pt idx="112">
                  <c:v>96</c:v>
                </c:pt>
                <c:pt idx="113">
                  <c:v>95.25</c:v>
                </c:pt>
                <c:pt idx="114">
                  <c:v>94.5</c:v>
                </c:pt>
                <c:pt idx="115">
                  <c:v>93.75</c:v>
                </c:pt>
                <c:pt idx="116">
                  <c:v>93</c:v>
                </c:pt>
                <c:pt idx="117">
                  <c:v>92.25</c:v>
                </c:pt>
                <c:pt idx="118">
                  <c:v>91.5</c:v>
                </c:pt>
                <c:pt idx="119">
                  <c:v>90.75</c:v>
                </c:pt>
                <c:pt idx="120">
                  <c:v>90</c:v>
                </c:pt>
                <c:pt idx="121">
                  <c:v>89.25</c:v>
                </c:pt>
                <c:pt idx="122">
                  <c:v>88.5</c:v>
                </c:pt>
                <c:pt idx="123">
                  <c:v>87.75</c:v>
                </c:pt>
                <c:pt idx="124">
                  <c:v>87</c:v>
                </c:pt>
                <c:pt idx="125">
                  <c:v>86.25</c:v>
                </c:pt>
                <c:pt idx="126">
                  <c:v>85.5</c:v>
                </c:pt>
                <c:pt idx="127">
                  <c:v>84.75</c:v>
                </c:pt>
                <c:pt idx="128">
                  <c:v>84</c:v>
                </c:pt>
                <c:pt idx="129">
                  <c:v>83.25</c:v>
                </c:pt>
                <c:pt idx="130">
                  <c:v>82.5</c:v>
                </c:pt>
                <c:pt idx="131">
                  <c:v>81.75</c:v>
                </c:pt>
                <c:pt idx="132">
                  <c:v>81</c:v>
                </c:pt>
                <c:pt idx="133">
                  <c:v>80.25</c:v>
                </c:pt>
                <c:pt idx="134">
                  <c:v>79.5</c:v>
                </c:pt>
                <c:pt idx="135">
                  <c:v>78.75</c:v>
                </c:pt>
                <c:pt idx="136">
                  <c:v>78</c:v>
                </c:pt>
                <c:pt idx="137">
                  <c:v>77.25</c:v>
                </c:pt>
                <c:pt idx="138">
                  <c:v>76.5</c:v>
                </c:pt>
                <c:pt idx="139">
                  <c:v>75.75</c:v>
                </c:pt>
                <c:pt idx="140">
                  <c:v>75</c:v>
                </c:pt>
                <c:pt idx="141">
                  <c:v>74.25</c:v>
                </c:pt>
                <c:pt idx="142">
                  <c:v>73.5</c:v>
                </c:pt>
                <c:pt idx="143">
                  <c:v>72.75</c:v>
                </c:pt>
                <c:pt idx="144">
                  <c:v>72</c:v>
                </c:pt>
                <c:pt idx="145">
                  <c:v>71.25</c:v>
                </c:pt>
                <c:pt idx="146">
                  <c:v>70.5</c:v>
                </c:pt>
                <c:pt idx="147">
                  <c:v>69.75</c:v>
                </c:pt>
                <c:pt idx="148">
                  <c:v>69</c:v>
                </c:pt>
                <c:pt idx="149">
                  <c:v>68.25</c:v>
                </c:pt>
                <c:pt idx="150">
                  <c:v>67.5</c:v>
                </c:pt>
                <c:pt idx="151">
                  <c:v>66.75</c:v>
                </c:pt>
                <c:pt idx="152">
                  <c:v>66</c:v>
                </c:pt>
                <c:pt idx="153">
                  <c:v>65.25</c:v>
                </c:pt>
                <c:pt idx="154">
                  <c:v>64.5</c:v>
                </c:pt>
                <c:pt idx="155">
                  <c:v>63.75</c:v>
                </c:pt>
                <c:pt idx="156">
                  <c:v>63</c:v>
                </c:pt>
                <c:pt idx="157">
                  <c:v>62.25</c:v>
                </c:pt>
                <c:pt idx="158">
                  <c:v>61.5</c:v>
                </c:pt>
                <c:pt idx="159">
                  <c:v>60.75</c:v>
                </c:pt>
                <c:pt idx="160">
                  <c:v>60</c:v>
                </c:pt>
                <c:pt idx="161">
                  <c:v>59.25</c:v>
                </c:pt>
                <c:pt idx="162">
                  <c:v>58.5</c:v>
                </c:pt>
                <c:pt idx="163">
                  <c:v>57.75</c:v>
                </c:pt>
                <c:pt idx="164">
                  <c:v>57</c:v>
                </c:pt>
                <c:pt idx="165">
                  <c:v>56.25</c:v>
                </c:pt>
                <c:pt idx="166">
                  <c:v>55.5</c:v>
                </c:pt>
                <c:pt idx="167">
                  <c:v>54.75</c:v>
                </c:pt>
                <c:pt idx="168">
                  <c:v>54</c:v>
                </c:pt>
                <c:pt idx="169">
                  <c:v>53.25</c:v>
                </c:pt>
                <c:pt idx="170">
                  <c:v>52.5</c:v>
                </c:pt>
                <c:pt idx="171">
                  <c:v>51.75</c:v>
                </c:pt>
                <c:pt idx="172">
                  <c:v>51</c:v>
                </c:pt>
                <c:pt idx="173">
                  <c:v>50.25</c:v>
                </c:pt>
                <c:pt idx="174">
                  <c:v>49.5</c:v>
                </c:pt>
                <c:pt idx="175">
                  <c:v>48.75</c:v>
                </c:pt>
                <c:pt idx="176">
                  <c:v>48</c:v>
                </c:pt>
                <c:pt idx="177">
                  <c:v>47.25</c:v>
                </c:pt>
                <c:pt idx="178">
                  <c:v>46.5</c:v>
                </c:pt>
                <c:pt idx="179">
                  <c:v>45.75</c:v>
                </c:pt>
                <c:pt idx="180">
                  <c:v>45</c:v>
                </c:pt>
                <c:pt idx="181">
                  <c:v>44.25</c:v>
                </c:pt>
                <c:pt idx="182">
                  <c:v>43.5</c:v>
                </c:pt>
                <c:pt idx="183">
                  <c:v>42.75</c:v>
                </c:pt>
                <c:pt idx="184">
                  <c:v>42</c:v>
                </c:pt>
                <c:pt idx="185">
                  <c:v>41.25</c:v>
                </c:pt>
                <c:pt idx="186">
                  <c:v>40.5</c:v>
                </c:pt>
                <c:pt idx="187">
                  <c:v>39.75</c:v>
                </c:pt>
                <c:pt idx="188">
                  <c:v>39</c:v>
                </c:pt>
                <c:pt idx="189">
                  <c:v>38.25</c:v>
                </c:pt>
                <c:pt idx="190">
                  <c:v>37.5</c:v>
                </c:pt>
                <c:pt idx="191">
                  <c:v>36.75</c:v>
                </c:pt>
                <c:pt idx="192">
                  <c:v>36</c:v>
                </c:pt>
                <c:pt idx="193">
                  <c:v>35.25</c:v>
                </c:pt>
                <c:pt idx="194">
                  <c:v>34.5</c:v>
                </c:pt>
                <c:pt idx="195">
                  <c:v>33.75</c:v>
                </c:pt>
                <c:pt idx="196">
                  <c:v>33</c:v>
                </c:pt>
                <c:pt idx="197">
                  <c:v>32.25</c:v>
                </c:pt>
                <c:pt idx="198">
                  <c:v>31.5</c:v>
                </c:pt>
                <c:pt idx="199">
                  <c:v>30.75</c:v>
                </c:pt>
                <c:pt idx="200">
                  <c:v>30</c:v>
                </c:pt>
                <c:pt idx="201">
                  <c:v>29.25</c:v>
                </c:pt>
                <c:pt idx="202">
                  <c:v>28.5</c:v>
                </c:pt>
                <c:pt idx="203">
                  <c:v>27.75</c:v>
                </c:pt>
                <c:pt idx="204">
                  <c:v>27</c:v>
                </c:pt>
                <c:pt idx="205">
                  <c:v>26.25</c:v>
                </c:pt>
                <c:pt idx="206">
                  <c:v>25.5</c:v>
                </c:pt>
                <c:pt idx="207">
                  <c:v>24.75</c:v>
                </c:pt>
                <c:pt idx="208">
                  <c:v>24</c:v>
                </c:pt>
                <c:pt idx="209">
                  <c:v>23.25</c:v>
                </c:pt>
                <c:pt idx="210">
                  <c:v>22.5</c:v>
                </c:pt>
                <c:pt idx="211">
                  <c:v>21.75</c:v>
                </c:pt>
                <c:pt idx="212">
                  <c:v>21</c:v>
                </c:pt>
                <c:pt idx="213">
                  <c:v>20.25</c:v>
                </c:pt>
                <c:pt idx="214">
                  <c:v>19.5</c:v>
                </c:pt>
                <c:pt idx="215">
                  <c:v>18.75</c:v>
                </c:pt>
                <c:pt idx="216">
                  <c:v>18</c:v>
                </c:pt>
                <c:pt idx="217">
                  <c:v>17.25</c:v>
                </c:pt>
                <c:pt idx="218">
                  <c:v>16.5</c:v>
                </c:pt>
                <c:pt idx="219">
                  <c:v>15.75</c:v>
                </c:pt>
                <c:pt idx="220">
                  <c:v>15</c:v>
                </c:pt>
                <c:pt idx="221">
                  <c:v>14.25</c:v>
                </c:pt>
                <c:pt idx="222">
                  <c:v>13.5</c:v>
                </c:pt>
                <c:pt idx="223">
                  <c:v>12.75</c:v>
                </c:pt>
                <c:pt idx="224">
                  <c:v>12</c:v>
                </c:pt>
                <c:pt idx="225">
                  <c:v>11.25</c:v>
                </c:pt>
                <c:pt idx="226">
                  <c:v>10.5</c:v>
                </c:pt>
                <c:pt idx="227">
                  <c:v>9.75</c:v>
                </c:pt>
                <c:pt idx="228">
                  <c:v>9</c:v>
                </c:pt>
                <c:pt idx="229">
                  <c:v>8.25</c:v>
                </c:pt>
                <c:pt idx="230">
                  <c:v>7.5</c:v>
                </c:pt>
                <c:pt idx="231">
                  <c:v>6.75</c:v>
                </c:pt>
                <c:pt idx="232">
                  <c:v>6</c:v>
                </c:pt>
                <c:pt idx="233">
                  <c:v>5.25</c:v>
                </c:pt>
                <c:pt idx="234">
                  <c:v>4.5</c:v>
                </c:pt>
                <c:pt idx="235">
                  <c:v>3.75</c:v>
                </c:pt>
                <c:pt idx="236">
                  <c:v>3</c:v>
                </c:pt>
                <c:pt idx="237">
                  <c:v>2.25</c:v>
                </c:pt>
                <c:pt idx="238">
                  <c:v>1.5</c:v>
                </c:pt>
                <c:pt idx="239">
                  <c:v>0.75</c:v>
                </c:pt>
                <c:pt idx="240">
                  <c:v>0</c:v>
                </c:pt>
                <c:pt idx="241">
                  <c:v>-0.75</c:v>
                </c:pt>
                <c:pt idx="242">
                  <c:v>-1.5</c:v>
                </c:pt>
                <c:pt idx="243">
                  <c:v>-2.25</c:v>
                </c:pt>
                <c:pt idx="244">
                  <c:v>-3</c:v>
                </c:pt>
                <c:pt idx="245">
                  <c:v>-3.75</c:v>
                </c:pt>
                <c:pt idx="246">
                  <c:v>-4.5</c:v>
                </c:pt>
                <c:pt idx="247">
                  <c:v>-5.25</c:v>
                </c:pt>
                <c:pt idx="248">
                  <c:v>-6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ECA6-B74B-B109-20FD15C42C36}"/>
            </c:ext>
          </c:extLst>
        </c:ser>
        <c:ser>
          <c:idx val="4"/>
          <c:order val="4"/>
          <c:spPr>
            <a:ln w="3175">
              <a:solidFill>
                <a:srgbClr val="0000FF"/>
              </a:solidFill>
              <a:prstDash val="sysDash"/>
            </a:ln>
          </c:spPr>
          <c:marker>
            <c:symbol val="none"/>
          </c:marker>
          <c:cat>
            <c:numRef>
              <c:f>Data!$A$6:$A$254</c:f>
              <c:numCache>
                <c:formatCode>General</c:formatCode>
                <c:ptCount val="2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</c:numCache>
            </c:numRef>
          </c:cat>
          <c:val>
            <c:numRef>
              <c:f>Data!$I$6:$I$254</c:f>
              <c:numCache>
                <c:formatCode>General</c:formatCode>
                <c:ptCount val="249"/>
                <c:pt idx="0">
                  <c:v>-99999999999</c:v>
                </c:pt>
                <c:pt idx="1">
                  <c:v>-99999999999</c:v>
                </c:pt>
                <c:pt idx="2">
                  <c:v>-99999999999</c:v>
                </c:pt>
                <c:pt idx="3">
                  <c:v>-99999999999</c:v>
                </c:pt>
                <c:pt idx="4">
                  <c:v>-99999999999</c:v>
                </c:pt>
                <c:pt idx="5">
                  <c:v>-99999999999</c:v>
                </c:pt>
                <c:pt idx="6">
                  <c:v>-99999999999</c:v>
                </c:pt>
                <c:pt idx="7">
                  <c:v>-99999999999</c:v>
                </c:pt>
                <c:pt idx="8">
                  <c:v>-99999999999</c:v>
                </c:pt>
                <c:pt idx="9">
                  <c:v>-99999999999</c:v>
                </c:pt>
                <c:pt idx="10">
                  <c:v>-99999999999</c:v>
                </c:pt>
                <c:pt idx="11">
                  <c:v>-99999999999</c:v>
                </c:pt>
                <c:pt idx="12">
                  <c:v>-99999999999</c:v>
                </c:pt>
                <c:pt idx="13">
                  <c:v>-99999999999</c:v>
                </c:pt>
                <c:pt idx="14">
                  <c:v>-99999999999</c:v>
                </c:pt>
                <c:pt idx="15">
                  <c:v>-99999999999</c:v>
                </c:pt>
                <c:pt idx="16">
                  <c:v>-99999999999</c:v>
                </c:pt>
                <c:pt idx="17">
                  <c:v>-99999999999</c:v>
                </c:pt>
                <c:pt idx="18">
                  <c:v>-99999999999</c:v>
                </c:pt>
                <c:pt idx="19">
                  <c:v>-99999999999</c:v>
                </c:pt>
                <c:pt idx="20">
                  <c:v>-99999999999</c:v>
                </c:pt>
                <c:pt idx="21">
                  <c:v>-99999999999</c:v>
                </c:pt>
                <c:pt idx="22">
                  <c:v>-99999999999</c:v>
                </c:pt>
                <c:pt idx="23">
                  <c:v>-99999999999</c:v>
                </c:pt>
                <c:pt idx="24">
                  <c:v>-99999999999</c:v>
                </c:pt>
                <c:pt idx="25">
                  <c:v>-99999999999</c:v>
                </c:pt>
                <c:pt idx="26">
                  <c:v>-99999999999</c:v>
                </c:pt>
                <c:pt idx="27">
                  <c:v>-99999999999</c:v>
                </c:pt>
                <c:pt idx="28">
                  <c:v>-99999999999</c:v>
                </c:pt>
                <c:pt idx="29">
                  <c:v>-99999999999</c:v>
                </c:pt>
                <c:pt idx="30">
                  <c:v>-99999999999</c:v>
                </c:pt>
                <c:pt idx="31">
                  <c:v>-99999999999</c:v>
                </c:pt>
                <c:pt idx="32">
                  <c:v>-99999999999</c:v>
                </c:pt>
                <c:pt idx="33">
                  <c:v>-99999999999</c:v>
                </c:pt>
                <c:pt idx="34">
                  <c:v>-99999999999</c:v>
                </c:pt>
                <c:pt idx="35">
                  <c:v>-99999999999</c:v>
                </c:pt>
                <c:pt idx="36">
                  <c:v>-99999999999</c:v>
                </c:pt>
                <c:pt idx="37">
                  <c:v>-99999999999</c:v>
                </c:pt>
                <c:pt idx="38">
                  <c:v>-99999999999</c:v>
                </c:pt>
                <c:pt idx="39">
                  <c:v>-99999999999</c:v>
                </c:pt>
                <c:pt idx="40">
                  <c:v>-99999999999</c:v>
                </c:pt>
                <c:pt idx="41">
                  <c:v>-99999999999</c:v>
                </c:pt>
                <c:pt idx="42">
                  <c:v>-99999999999</c:v>
                </c:pt>
                <c:pt idx="43">
                  <c:v>-99999999999</c:v>
                </c:pt>
                <c:pt idx="44">
                  <c:v>-99999999999</c:v>
                </c:pt>
                <c:pt idx="45">
                  <c:v>-99999999999</c:v>
                </c:pt>
                <c:pt idx="46">
                  <c:v>-99999999999</c:v>
                </c:pt>
                <c:pt idx="47">
                  <c:v>-99999999999</c:v>
                </c:pt>
                <c:pt idx="48">
                  <c:v>-99999999999</c:v>
                </c:pt>
                <c:pt idx="49">
                  <c:v>-99999999999</c:v>
                </c:pt>
                <c:pt idx="50">
                  <c:v>-99999999999</c:v>
                </c:pt>
                <c:pt idx="51">
                  <c:v>-99999999999</c:v>
                </c:pt>
                <c:pt idx="52">
                  <c:v>-99999999999</c:v>
                </c:pt>
                <c:pt idx="53">
                  <c:v>-99999999999</c:v>
                </c:pt>
                <c:pt idx="54">
                  <c:v>-99999999999</c:v>
                </c:pt>
                <c:pt idx="55">
                  <c:v>-99999999999</c:v>
                </c:pt>
                <c:pt idx="56">
                  <c:v>-99999999999</c:v>
                </c:pt>
                <c:pt idx="57">
                  <c:v>-99999999999</c:v>
                </c:pt>
                <c:pt idx="58">
                  <c:v>-99999999999</c:v>
                </c:pt>
                <c:pt idx="59">
                  <c:v>-99999999999</c:v>
                </c:pt>
                <c:pt idx="60">
                  <c:v>-99999999999</c:v>
                </c:pt>
                <c:pt idx="61">
                  <c:v>-99999999999</c:v>
                </c:pt>
                <c:pt idx="62">
                  <c:v>-99999999999</c:v>
                </c:pt>
                <c:pt idx="63">
                  <c:v>-99999999999</c:v>
                </c:pt>
                <c:pt idx="64">
                  <c:v>-99999999999</c:v>
                </c:pt>
                <c:pt idx="65">
                  <c:v>-99999999999</c:v>
                </c:pt>
                <c:pt idx="66">
                  <c:v>-99999999999</c:v>
                </c:pt>
                <c:pt idx="67">
                  <c:v>-99999999999</c:v>
                </c:pt>
                <c:pt idx="68">
                  <c:v>-99999999999</c:v>
                </c:pt>
                <c:pt idx="69">
                  <c:v>-99999999999</c:v>
                </c:pt>
                <c:pt idx="70">
                  <c:v>-99999999999</c:v>
                </c:pt>
                <c:pt idx="71">
                  <c:v>-99999999999</c:v>
                </c:pt>
                <c:pt idx="72">
                  <c:v>-99999999999</c:v>
                </c:pt>
                <c:pt idx="73">
                  <c:v>-99999999999</c:v>
                </c:pt>
                <c:pt idx="74">
                  <c:v>-99999999999</c:v>
                </c:pt>
                <c:pt idx="75">
                  <c:v>-99999999999</c:v>
                </c:pt>
                <c:pt idx="76">
                  <c:v>-99999999999</c:v>
                </c:pt>
                <c:pt idx="77">
                  <c:v>-99999999999</c:v>
                </c:pt>
                <c:pt idx="78">
                  <c:v>-99999999999</c:v>
                </c:pt>
                <c:pt idx="79">
                  <c:v>-99999999999</c:v>
                </c:pt>
                <c:pt idx="80">
                  <c:v>-99999999999</c:v>
                </c:pt>
                <c:pt idx="81">
                  <c:v>-99999999999</c:v>
                </c:pt>
                <c:pt idx="82">
                  <c:v>-99999999999</c:v>
                </c:pt>
                <c:pt idx="83">
                  <c:v>-99999999999</c:v>
                </c:pt>
                <c:pt idx="84">
                  <c:v>-99999999999</c:v>
                </c:pt>
                <c:pt idx="85">
                  <c:v>-99999999999</c:v>
                </c:pt>
                <c:pt idx="86">
                  <c:v>-99999999999</c:v>
                </c:pt>
                <c:pt idx="87">
                  <c:v>-99999999999</c:v>
                </c:pt>
                <c:pt idx="88">
                  <c:v>-99999999999</c:v>
                </c:pt>
                <c:pt idx="89">
                  <c:v>-99999999999</c:v>
                </c:pt>
                <c:pt idx="90">
                  <c:v>-99999999999</c:v>
                </c:pt>
                <c:pt idx="91">
                  <c:v>-99999999999</c:v>
                </c:pt>
                <c:pt idx="92">
                  <c:v>-99999999999</c:v>
                </c:pt>
                <c:pt idx="93">
                  <c:v>-99999999999</c:v>
                </c:pt>
                <c:pt idx="94">
                  <c:v>-99999999999</c:v>
                </c:pt>
                <c:pt idx="95">
                  <c:v>-99999999999</c:v>
                </c:pt>
                <c:pt idx="96">
                  <c:v>-99999999999</c:v>
                </c:pt>
                <c:pt idx="97">
                  <c:v>-99999999999</c:v>
                </c:pt>
                <c:pt idx="98">
                  <c:v>-99999999999</c:v>
                </c:pt>
                <c:pt idx="99">
                  <c:v>-99999999999</c:v>
                </c:pt>
                <c:pt idx="100">
                  <c:v>-99999999999</c:v>
                </c:pt>
                <c:pt idx="101">
                  <c:v>-99999999999</c:v>
                </c:pt>
                <c:pt idx="102">
                  <c:v>-99999999999</c:v>
                </c:pt>
                <c:pt idx="103">
                  <c:v>-99999999999</c:v>
                </c:pt>
                <c:pt idx="104">
                  <c:v>-99999999999</c:v>
                </c:pt>
                <c:pt idx="105">
                  <c:v>-99999999999</c:v>
                </c:pt>
                <c:pt idx="106">
                  <c:v>-99999999999</c:v>
                </c:pt>
                <c:pt idx="107">
                  <c:v>-99999999999</c:v>
                </c:pt>
                <c:pt idx="108">
                  <c:v>-99999999999</c:v>
                </c:pt>
                <c:pt idx="109">
                  <c:v>-99999999999</c:v>
                </c:pt>
                <c:pt idx="110">
                  <c:v>-99999999999</c:v>
                </c:pt>
                <c:pt idx="111">
                  <c:v>-99999999999</c:v>
                </c:pt>
                <c:pt idx="112">
                  <c:v>-99999999999</c:v>
                </c:pt>
                <c:pt idx="113">
                  <c:v>-99999999999</c:v>
                </c:pt>
                <c:pt idx="114">
                  <c:v>-99999999999</c:v>
                </c:pt>
                <c:pt idx="115">
                  <c:v>-99999999999</c:v>
                </c:pt>
                <c:pt idx="116">
                  <c:v>-99999999999</c:v>
                </c:pt>
                <c:pt idx="117">
                  <c:v>-99999999999</c:v>
                </c:pt>
                <c:pt idx="118">
                  <c:v>-99999999999</c:v>
                </c:pt>
                <c:pt idx="119">
                  <c:v>-99999999999</c:v>
                </c:pt>
                <c:pt idx="120">
                  <c:v>-99999999999</c:v>
                </c:pt>
                <c:pt idx="121">
                  <c:v>-99999999999</c:v>
                </c:pt>
                <c:pt idx="122">
                  <c:v>-99999999999</c:v>
                </c:pt>
                <c:pt idx="123">
                  <c:v>-99999999999</c:v>
                </c:pt>
                <c:pt idx="124">
                  <c:v>-99999999999</c:v>
                </c:pt>
                <c:pt idx="125">
                  <c:v>-99999999999</c:v>
                </c:pt>
                <c:pt idx="126">
                  <c:v>-99999999999</c:v>
                </c:pt>
                <c:pt idx="127">
                  <c:v>-99999999999</c:v>
                </c:pt>
                <c:pt idx="128">
                  <c:v>-99999999999</c:v>
                </c:pt>
                <c:pt idx="129">
                  <c:v>-99999999999</c:v>
                </c:pt>
                <c:pt idx="130">
                  <c:v>-99999999999</c:v>
                </c:pt>
                <c:pt idx="131">
                  <c:v>-99999999999</c:v>
                </c:pt>
                <c:pt idx="132">
                  <c:v>-99999999999</c:v>
                </c:pt>
                <c:pt idx="133">
                  <c:v>-99999999999</c:v>
                </c:pt>
                <c:pt idx="134">
                  <c:v>-99999999999</c:v>
                </c:pt>
                <c:pt idx="135">
                  <c:v>-99999999999</c:v>
                </c:pt>
                <c:pt idx="136">
                  <c:v>-99999999999</c:v>
                </c:pt>
                <c:pt idx="137">
                  <c:v>-99999999999</c:v>
                </c:pt>
                <c:pt idx="138">
                  <c:v>-99999999999</c:v>
                </c:pt>
                <c:pt idx="139">
                  <c:v>-99999999999</c:v>
                </c:pt>
                <c:pt idx="140">
                  <c:v>-99999999999</c:v>
                </c:pt>
                <c:pt idx="141">
                  <c:v>-99999999999</c:v>
                </c:pt>
                <c:pt idx="142">
                  <c:v>-99999999999</c:v>
                </c:pt>
                <c:pt idx="143">
                  <c:v>-99999999999</c:v>
                </c:pt>
                <c:pt idx="144">
                  <c:v>-99999999999</c:v>
                </c:pt>
                <c:pt idx="145">
                  <c:v>-99999999999</c:v>
                </c:pt>
                <c:pt idx="146">
                  <c:v>-99999999999</c:v>
                </c:pt>
                <c:pt idx="147">
                  <c:v>-99999999999</c:v>
                </c:pt>
                <c:pt idx="148">
                  <c:v>-99999999999</c:v>
                </c:pt>
                <c:pt idx="149">
                  <c:v>-99999999999</c:v>
                </c:pt>
                <c:pt idx="150">
                  <c:v>-99999999999</c:v>
                </c:pt>
                <c:pt idx="151">
                  <c:v>-99999999999</c:v>
                </c:pt>
                <c:pt idx="152">
                  <c:v>-99999999999</c:v>
                </c:pt>
                <c:pt idx="153">
                  <c:v>-99999999999</c:v>
                </c:pt>
                <c:pt idx="154">
                  <c:v>-99999999999</c:v>
                </c:pt>
                <c:pt idx="155">
                  <c:v>-99999999999</c:v>
                </c:pt>
                <c:pt idx="156">
                  <c:v>-99999999999</c:v>
                </c:pt>
                <c:pt idx="157">
                  <c:v>-99999999999</c:v>
                </c:pt>
                <c:pt idx="158">
                  <c:v>-99999999999</c:v>
                </c:pt>
                <c:pt idx="159">
                  <c:v>-99999999999</c:v>
                </c:pt>
                <c:pt idx="160">
                  <c:v>-99999999999</c:v>
                </c:pt>
                <c:pt idx="161">
                  <c:v>-99999999999</c:v>
                </c:pt>
                <c:pt idx="162">
                  <c:v>-99999999999</c:v>
                </c:pt>
                <c:pt idx="163">
                  <c:v>-99999999999</c:v>
                </c:pt>
                <c:pt idx="164">
                  <c:v>-99999999999</c:v>
                </c:pt>
                <c:pt idx="165">
                  <c:v>-99999999999</c:v>
                </c:pt>
                <c:pt idx="166">
                  <c:v>-99999999999</c:v>
                </c:pt>
                <c:pt idx="167">
                  <c:v>-99999999999</c:v>
                </c:pt>
                <c:pt idx="168">
                  <c:v>-99999999999</c:v>
                </c:pt>
                <c:pt idx="169">
                  <c:v>-99999999999</c:v>
                </c:pt>
                <c:pt idx="170">
                  <c:v>-99999999999</c:v>
                </c:pt>
                <c:pt idx="171">
                  <c:v>-99999999999</c:v>
                </c:pt>
                <c:pt idx="172">
                  <c:v>-99999999999</c:v>
                </c:pt>
                <c:pt idx="173">
                  <c:v>-99999999999</c:v>
                </c:pt>
                <c:pt idx="174">
                  <c:v>-99999999999</c:v>
                </c:pt>
                <c:pt idx="175">
                  <c:v>-99999999999</c:v>
                </c:pt>
                <c:pt idx="176">
                  <c:v>-99999999999</c:v>
                </c:pt>
                <c:pt idx="177">
                  <c:v>-99999999999</c:v>
                </c:pt>
                <c:pt idx="178">
                  <c:v>-99999999999</c:v>
                </c:pt>
                <c:pt idx="179">
                  <c:v>-99999999999</c:v>
                </c:pt>
                <c:pt idx="180">
                  <c:v>-99999999999</c:v>
                </c:pt>
                <c:pt idx="181">
                  <c:v>-99999999999</c:v>
                </c:pt>
                <c:pt idx="182">
                  <c:v>-99999999999</c:v>
                </c:pt>
                <c:pt idx="183">
                  <c:v>-99999999999</c:v>
                </c:pt>
                <c:pt idx="184">
                  <c:v>-99999999999</c:v>
                </c:pt>
                <c:pt idx="185">
                  <c:v>-99999999999</c:v>
                </c:pt>
                <c:pt idx="186">
                  <c:v>-99999999999</c:v>
                </c:pt>
                <c:pt idx="187">
                  <c:v>-99999999999</c:v>
                </c:pt>
                <c:pt idx="188">
                  <c:v>-99999999999</c:v>
                </c:pt>
                <c:pt idx="189">
                  <c:v>-99999999999</c:v>
                </c:pt>
                <c:pt idx="190">
                  <c:v>-99999999999</c:v>
                </c:pt>
                <c:pt idx="191">
                  <c:v>-99999999999</c:v>
                </c:pt>
                <c:pt idx="192">
                  <c:v>-99999999999</c:v>
                </c:pt>
                <c:pt idx="193">
                  <c:v>-99999999999</c:v>
                </c:pt>
                <c:pt idx="194">
                  <c:v>-99999999999</c:v>
                </c:pt>
                <c:pt idx="195">
                  <c:v>-99999999999</c:v>
                </c:pt>
                <c:pt idx="196">
                  <c:v>-99999999999</c:v>
                </c:pt>
                <c:pt idx="197">
                  <c:v>-99999999999</c:v>
                </c:pt>
                <c:pt idx="198">
                  <c:v>-99999999999</c:v>
                </c:pt>
                <c:pt idx="199">
                  <c:v>-99999999999</c:v>
                </c:pt>
                <c:pt idx="200">
                  <c:v>-99999999999</c:v>
                </c:pt>
                <c:pt idx="201">
                  <c:v>-99999999999</c:v>
                </c:pt>
                <c:pt idx="202">
                  <c:v>-99999999999</c:v>
                </c:pt>
                <c:pt idx="203">
                  <c:v>-99999999999</c:v>
                </c:pt>
                <c:pt idx="204">
                  <c:v>-99999999999</c:v>
                </c:pt>
                <c:pt idx="205">
                  <c:v>-99999999999</c:v>
                </c:pt>
                <c:pt idx="206">
                  <c:v>-99999999999</c:v>
                </c:pt>
                <c:pt idx="207">
                  <c:v>-99999999999</c:v>
                </c:pt>
                <c:pt idx="208">
                  <c:v>-99999999999</c:v>
                </c:pt>
                <c:pt idx="209">
                  <c:v>-99999999999</c:v>
                </c:pt>
                <c:pt idx="210">
                  <c:v>-99999999999</c:v>
                </c:pt>
                <c:pt idx="211">
                  <c:v>-99999999999</c:v>
                </c:pt>
                <c:pt idx="212">
                  <c:v>-99999999999</c:v>
                </c:pt>
                <c:pt idx="213">
                  <c:v>-99999999999</c:v>
                </c:pt>
                <c:pt idx="214">
                  <c:v>-99999999999</c:v>
                </c:pt>
                <c:pt idx="215">
                  <c:v>-99999999999</c:v>
                </c:pt>
                <c:pt idx="216">
                  <c:v>-99999999999</c:v>
                </c:pt>
                <c:pt idx="217">
                  <c:v>-99999999999</c:v>
                </c:pt>
                <c:pt idx="218">
                  <c:v>-99999999999</c:v>
                </c:pt>
                <c:pt idx="219">
                  <c:v>-99999999999</c:v>
                </c:pt>
                <c:pt idx="220">
                  <c:v>-99999999999</c:v>
                </c:pt>
                <c:pt idx="221">
                  <c:v>-99999999999</c:v>
                </c:pt>
                <c:pt idx="222">
                  <c:v>-99999999999</c:v>
                </c:pt>
                <c:pt idx="223">
                  <c:v>-99999999999</c:v>
                </c:pt>
                <c:pt idx="224">
                  <c:v>-99999999999</c:v>
                </c:pt>
                <c:pt idx="225">
                  <c:v>-99999999999</c:v>
                </c:pt>
                <c:pt idx="226">
                  <c:v>-99999999999</c:v>
                </c:pt>
                <c:pt idx="227">
                  <c:v>-99999999999</c:v>
                </c:pt>
                <c:pt idx="228">
                  <c:v>-99999999999</c:v>
                </c:pt>
                <c:pt idx="229">
                  <c:v>-99999999999</c:v>
                </c:pt>
                <c:pt idx="230">
                  <c:v>-99999999999</c:v>
                </c:pt>
                <c:pt idx="231">
                  <c:v>-99999999999</c:v>
                </c:pt>
                <c:pt idx="232">
                  <c:v>-99999999999</c:v>
                </c:pt>
                <c:pt idx="233">
                  <c:v>-99999999999</c:v>
                </c:pt>
                <c:pt idx="234">
                  <c:v>-99999999999</c:v>
                </c:pt>
                <c:pt idx="235">
                  <c:v>-99999999999</c:v>
                </c:pt>
                <c:pt idx="236">
                  <c:v>-99999999999</c:v>
                </c:pt>
                <c:pt idx="237">
                  <c:v>-99999999999</c:v>
                </c:pt>
                <c:pt idx="238">
                  <c:v>-99999999999</c:v>
                </c:pt>
                <c:pt idx="239">
                  <c:v>-99999999999</c:v>
                </c:pt>
                <c:pt idx="240">
                  <c:v>-99999999999</c:v>
                </c:pt>
                <c:pt idx="241">
                  <c:v>-99999999999</c:v>
                </c:pt>
                <c:pt idx="242">
                  <c:v>-99999999999</c:v>
                </c:pt>
                <c:pt idx="243">
                  <c:v>-99999999999</c:v>
                </c:pt>
                <c:pt idx="244">
                  <c:v>-99999999999</c:v>
                </c:pt>
                <c:pt idx="245">
                  <c:v>-99999999999</c:v>
                </c:pt>
                <c:pt idx="246">
                  <c:v>-99999999999</c:v>
                </c:pt>
                <c:pt idx="247">
                  <c:v>-99999999999</c:v>
                </c:pt>
                <c:pt idx="248">
                  <c:v>-99999999999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ECA6-B74B-B109-20FD15C42C36}"/>
            </c:ext>
          </c:extLst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val>
            <c:numRef>
              <c:f>Data!$L$6:$L$254</c:f>
              <c:numCache>
                <c:formatCode>General</c:formatCode>
                <c:ptCount val="249"/>
                <c:pt idx="0">
                  <c:v>-99999999999</c:v>
                </c:pt>
                <c:pt idx="1">
                  <c:v>-99999999999</c:v>
                </c:pt>
                <c:pt idx="2">
                  <c:v>-99999999999</c:v>
                </c:pt>
                <c:pt idx="3">
                  <c:v>-99999999999</c:v>
                </c:pt>
                <c:pt idx="4">
                  <c:v>-99999999999</c:v>
                </c:pt>
                <c:pt idx="5">
                  <c:v>-99999999999</c:v>
                </c:pt>
                <c:pt idx="6">
                  <c:v>-99999999999</c:v>
                </c:pt>
                <c:pt idx="7">
                  <c:v>-99999999999</c:v>
                </c:pt>
                <c:pt idx="8">
                  <c:v>-99999999999</c:v>
                </c:pt>
                <c:pt idx="9">
                  <c:v>-99999999999</c:v>
                </c:pt>
                <c:pt idx="10">
                  <c:v>-99999999999</c:v>
                </c:pt>
                <c:pt idx="11">
                  <c:v>-99999999999</c:v>
                </c:pt>
                <c:pt idx="12">
                  <c:v>-99999999999</c:v>
                </c:pt>
                <c:pt idx="13">
                  <c:v>-99999999999</c:v>
                </c:pt>
                <c:pt idx="14">
                  <c:v>-99999999999</c:v>
                </c:pt>
                <c:pt idx="15">
                  <c:v>-99999999999</c:v>
                </c:pt>
                <c:pt idx="16">
                  <c:v>-99999999999</c:v>
                </c:pt>
                <c:pt idx="17">
                  <c:v>-99999999999</c:v>
                </c:pt>
                <c:pt idx="18">
                  <c:v>-99999999999</c:v>
                </c:pt>
                <c:pt idx="19">
                  <c:v>-99999999999</c:v>
                </c:pt>
                <c:pt idx="20">
                  <c:v>-99999999999</c:v>
                </c:pt>
                <c:pt idx="21">
                  <c:v>-99999999999</c:v>
                </c:pt>
                <c:pt idx="22">
                  <c:v>-99999999999</c:v>
                </c:pt>
                <c:pt idx="23">
                  <c:v>-99999999999</c:v>
                </c:pt>
                <c:pt idx="24">
                  <c:v>-99999999999</c:v>
                </c:pt>
                <c:pt idx="25">
                  <c:v>-99999999999</c:v>
                </c:pt>
                <c:pt idx="26">
                  <c:v>-99999999999</c:v>
                </c:pt>
                <c:pt idx="27">
                  <c:v>-99999999999</c:v>
                </c:pt>
                <c:pt idx="28">
                  <c:v>-99999999999</c:v>
                </c:pt>
                <c:pt idx="29">
                  <c:v>-99999999999</c:v>
                </c:pt>
                <c:pt idx="30">
                  <c:v>-99999999999</c:v>
                </c:pt>
                <c:pt idx="31">
                  <c:v>-99999999999</c:v>
                </c:pt>
                <c:pt idx="32">
                  <c:v>-99999999999</c:v>
                </c:pt>
                <c:pt idx="33">
                  <c:v>-99999999999</c:v>
                </c:pt>
                <c:pt idx="34">
                  <c:v>-99999999999</c:v>
                </c:pt>
                <c:pt idx="35">
                  <c:v>-99999999999</c:v>
                </c:pt>
                <c:pt idx="36">
                  <c:v>-99999999999</c:v>
                </c:pt>
                <c:pt idx="37">
                  <c:v>-99999999999</c:v>
                </c:pt>
                <c:pt idx="38">
                  <c:v>-99999999999</c:v>
                </c:pt>
                <c:pt idx="39">
                  <c:v>-99999999999</c:v>
                </c:pt>
                <c:pt idx="40">
                  <c:v>-99999999999</c:v>
                </c:pt>
                <c:pt idx="41">
                  <c:v>-99999999999</c:v>
                </c:pt>
                <c:pt idx="42">
                  <c:v>-99999999999</c:v>
                </c:pt>
                <c:pt idx="43">
                  <c:v>-99999999999</c:v>
                </c:pt>
                <c:pt idx="44">
                  <c:v>-99999999999</c:v>
                </c:pt>
                <c:pt idx="45">
                  <c:v>-99999999999</c:v>
                </c:pt>
                <c:pt idx="46">
                  <c:v>-99999999999</c:v>
                </c:pt>
                <c:pt idx="47">
                  <c:v>-99999999999</c:v>
                </c:pt>
                <c:pt idx="48">
                  <c:v>-99999999999</c:v>
                </c:pt>
                <c:pt idx="49">
                  <c:v>-99999999999</c:v>
                </c:pt>
                <c:pt idx="50">
                  <c:v>-99999999999</c:v>
                </c:pt>
                <c:pt idx="51">
                  <c:v>-99999999999</c:v>
                </c:pt>
                <c:pt idx="52">
                  <c:v>-99999999999</c:v>
                </c:pt>
                <c:pt idx="53">
                  <c:v>-99999999999</c:v>
                </c:pt>
                <c:pt idx="54">
                  <c:v>-99999999999</c:v>
                </c:pt>
                <c:pt idx="55">
                  <c:v>-99999999999</c:v>
                </c:pt>
                <c:pt idx="56">
                  <c:v>-99999999999</c:v>
                </c:pt>
                <c:pt idx="57">
                  <c:v>-99999999999</c:v>
                </c:pt>
                <c:pt idx="58">
                  <c:v>-99999999999</c:v>
                </c:pt>
                <c:pt idx="59">
                  <c:v>-99999999999</c:v>
                </c:pt>
                <c:pt idx="60">
                  <c:v>-99999999999</c:v>
                </c:pt>
                <c:pt idx="61">
                  <c:v>-99999999999</c:v>
                </c:pt>
                <c:pt idx="62">
                  <c:v>-99999999999</c:v>
                </c:pt>
                <c:pt idx="63">
                  <c:v>-99999999999</c:v>
                </c:pt>
                <c:pt idx="64">
                  <c:v>-99999999999</c:v>
                </c:pt>
                <c:pt idx="65">
                  <c:v>-99999999999</c:v>
                </c:pt>
                <c:pt idx="66">
                  <c:v>-99999999999</c:v>
                </c:pt>
                <c:pt idx="67">
                  <c:v>-99999999999</c:v>
                </c:pt>
                <c:pt idx="68">
                  <c:v>-99999999999</c:v>
                </c:pt>
                <c:pt idx="69">
                  <c:v>-99999999999</c:v>
                </c:pt>
                <c:pt idx="70">
                  <c:v>-99999999999</c:v>
                </c:pt>
                <c:pt idx="71">
                  <c:v>-99999999999</c:v>
                </c:pt>
                <c:pt idx="72">
                  <c:v>-99999999999</c:v>
                </c:pt>
                <c:pt idx="73">
                  <c:v>-99999999999</c:v>
                </c:pt>
                <c:pt idx="74">
                  <c:v>-99999999999</c:v>
                </c:pt>
                <c:pt idx="75">
                  <c:v>-99999999999</c:v>
                </c:pt>
                <c:pt idx="76">
                  <c:v>-99999999999</c:v>
                </c:pt>
                <c:pt idx="77">
                  <c:v>-99999999999</c:v>
                </c:pt>
                <c:pt idx="78">
                  <c:v>-99999999999</c:v>
                </c:pt>
                <c:pt idx="79">
                  <c:v>-99999999999</c:v>
                </c:pt>
                <c:pt idx="80">
                  <c:v>-99999999999</c:v>
                </c:pt>
                <c:pt idx="81">
                  <c:v>-99999999999</c:v>
                </c:pt>
                <c:pt idx="82">
                  <c:v>-99999999999</c:v>
                </c:pt>
                <c:pt idx="83">
                  <c:v>-99999999999</c:v>
                </c:pt>
                <c:pt idx="84">
                  <c:v>-99999999999</c:v>
                </c:pt>
                <c:pt idx="85">
                  <c:v>-99999999999</c:v>
                </c:pt>
                <c:pt idx="86">
                  <c:v>-99999999999</c:v>
                </c:pt>
                <c:pt idx="87">
                  <c:v>-99999999999</c:v>
                </c:pt>
                <c:pt idx="88">
                  <c:v>-99999999999</c:v>
                </c:pt>
                <c:pt idx="89">
                  <c:v>-99999999999</c:v>
                </c:pt>
                <c:pt idx="90">
                  <c:v>-99999999999</c:v>
                </c:pt>
                <c:pt idx="91">
                  <c:v>-99999999999</c:v>
                </c:pt>
                <c:pt idx="92">
                  <c:v>-99999999999</c:v>
                </c:pt>
                <c:pt idx="93">
                  <c:v>-99999999999</c:v>
                </c:pt>
                <c:pt idx="94">
                  <c:v>-99999999999</c:v>
                </c:pt>
                <c:pt idx="95">
                  <c:v>-99999999999</c:v>
                </c:pt>
                <c:pt idx="96">
                  <c:v>-99999999999</c:v>
                </c:pt>
                <c:pt idx="97">
                  <c:v>-99999999999</c:v>
                </c:pt>
                <c:pt idx="98">
                  <c:v>-99999999999</c:v>
                </c:pt>
                <c:pt idx="99">
                  <c:v>-99999999999</c:v>
                </c:pt>
                <c:pt idx="100">
                  <c:v>-99999999999</c:v>
                </c:pt>
                <c:pt idx="101">
                  <c:v>-99999999999</c:v>
                </c:pt>
                <c:pt idx="102">
                  <c:v>-99999999999</c:v>
                </c:pt>
                <c:pt idx="103">
                  <c:v>-99999999999</c:v>
                </c:pt>
                <c:pt idx="104">
                  <c:v>-99999999999</c:v>
                </c:pt>
                <c:pt idx="105">
                  <c:v>-99999999999</c:v>
                </c:pt>
                <c:pt idx="106">
                  <c:v>-99999999999</c:v>
                </c:pt>
                <c:pt idx="107">
                  <c:v>-99999999999</c:v>
                </c:pt>
                <c:pt idx="108">
                  <c:v>-99999999999</c:v>
                </c:pt>
                <c:pt idx="109">
                  <c:v>-99999999999</c:v>
                </c:pt>
                <c:pt idx="110">
                  <c:v>-99999999999</c:v>
                </c:pt>
                <c:pt idx="111">
                  <c:v>-99999999999</c:v>
                </c:pt>
                <c:pt idx="112">
                  <c:v>-99999999999</c:v>
                </c:pt>
                <c:pt idx="113">
                  <c:v>-99999999999</c:v>
                </c:pt>
                <c:pt idx="114">
                  <c:v>-99999999999</c:v>
                </c:pt>
                <c:pt idx="115">
                  <c:v>-99999999999</c:v>
                </c:pt>
                <c:pt idx="116">
                  <c:v>-99999999999</c:v>
                </c:pt>
                <c:pt idx="117">
                  <c:v>-99999999999</c:v>
                </c:pt>
                <c:pt idx="118">
                  <c:v>-99999999999</c:v>
                </c:pt>
                <c:pt idx="119">
                  <c:v>-99999999999</c:v>
                </c:pt>
                <c:pt idx="120">
                  <c:v>-99999999999</c:v>
                </c:pt>
                <c:pt idx="121">
                  <c:v>-99999999999</c:v>
                </c:pt>
                <c:pt idx="122">
                  <c:v>78</c:v>
                </c:pt>
                <c:pt idx="123">
                  <c:v>-99999999999</c:v>
                </c:pt>
                <c:pt idx="124">
                  <c:v>-99999999999</c:v>
                </c:pt>
                <c:pt idx="125">
                  <c:v>-99999999999</c:v>
                </c:pt>
                <c:pt idx="126">
                  <c:v>-99999999999</c:v>
                </c:pt>
                <c:pt idx="127">
                  <c:v>-99999999999</c:v>
                </c:pt>
                <c:pt idx="128">
                  <c:v>-99999999999</c:v>
                </c:pt>
                <c:pt idx="129">
                  <c:v>-99999999999</c:v>
                </c:pt>
                <c:pt idx="130">
                  <c:v>-99999999999</c:v>
                </c:pt>
                <c:pt idx="131">
                  <c:v>-99999999999</c:v>
                </c:pt>
                <c:pt idx="132">
                  <c:v>-99999999999</c:v>
                </c:pt>
                <c:pt idx="133">
                  <c:v>-99999999999</c:v>
                </c:pt>
                <c:pt idx="134">
                  <c:v>-99999999999</c:v>
                </c:pt>
                <c:pt idx="135">
                  <c:v>-99999999999</c:v>
                </c:pt>
                <c:pt idx="136">
                  <c:v>-99999999999</c:v>
                </c:pt>
                <c:pt idx="137">
                  <c:v>-99999999999</c:v>
                </c:pt>
                <c:pt idx="138">
                  <c:v>-99999999999</c:v>
                </c:pt>
                <c:pt idx="139">
                  <c:v>-99999999999</c:v>
                </c:pt>
                <c:pt idx="140">
                  <c:v>-99999999999</c:v>
                </c:pt>
                <c:pt idx="141">
                  <c:v>-99999999999</c:v>
                </c:pt>
                <c:pt idx="142">
                  <c:v>-99999999999</c:v>
                </c:pt>
                <c:pt idx="143">
                  <c:v>-99999999999</c:v>
                </c:pt>
                <c:pt idx="144">
                  <c:v>-99999999999</c:v>
                </c:pt>
                <c:pt idx="145">
                  <c:v>-99999999999</c:v>
                </c:pt>
                <c:pt idx="146">
                  <c:v>-99999999999</c:v>
                </c:pt>
                <c:pt idx="147">
                  <c:v>-99999999999</c:v>
                </c:pt>
                <c:pt idx="148">
                  <c:v>-99999999999</c:v>
                </c:pt>
                <c:pt idx="149">
                  <c:v>-99999999999</c:v>
                </c:pt>
                <c:pt idx="150">
                  <c:v>-99999999999</c:v>
                </c:pt>
                <c:pt idx="151">
                  <c:v>-99999999999</c:v>
                </c:pt>
                <c:pt idx="152">
                  <c:v>-99999999999</c:v>
                </c:pt>
                <c:pt idx="153">
                  <c:v>-99999999999</c:v>
                </c:pt>
                <c:pt idx="154">
                  <c:v>-99999999999</c:v>
                </c:pt>
                <c:pt idx="155">
                  <c:v>-99999999999</c:v>
                </c:pt>
                <c:pt idx="156">
                  <c:v>-99999999999</c:v>
                </c:pt>
                <c:pt idx="157">
                  <c:v>-99999999999</c:v>
                </c:pt>
                <c:pt idx="158">
                  <c:v>-99999999999</c:v>
                </c:pt>
                <c:pt idx="159">
                  <c:v>-99999999999</c:v>
                </c:pt>
                <c:pt idx="160">
                  <c:v>-99999999999</c:v>
                </c:pt>
                <c:pt idx="161">
                  <c:v>-99999999999</c:v>
                </c:pt>
                <c:pt idx="162">
                  <c:v>-99999999999</c:v>
                </c:pt>
                <c:pt idx="163">
                  <c:v>-99999999999</c:v>
                </c:pt>
                <c:pt idx="164">
                  <c:v>-99999999999</c:v>
                </c:pt>
                <c:pt idx="165">
                  <c:v>-99999999999</c:v>
                </c:pt>
                <c:pt idx="166">
                  <c:v>-99999999999</c:v>
                </c:pt>
                <c:pt idx="167">
                  <c:v>-99999999999</c:v>
                </c:pt>
                <c:pt idx="168">
                  <c:v>-99999999999</c:v>
                </c:pt>
                <c:pt idx="169">
                  <c:v>-99999999999</c:v>
                </c:pt>
                <c:pt idx="170">
                  <c:v>-99999999999</c:v>
                </c:pt>
                <c:pt idx="171">
                  <c:v>-99999999999</c:v>
                </c:pt>
                <c:pt idx="172">
                  <c:v>-99999999999</c:v>
                </c:pt>
                <c:pt idx="173">
                  <c:v>-99999999999</c:v>
                </c:pt>
                <c:pt idx="174">
                  <c:v>-99999999999</c:v>
                </c:pt>
                <c:pt idx="175">
                  <c:v>-99999999999</c:v>
                </c:pt>
                <c:pt idx="176">
                  <c:v>-99999999999</c:v>
                </c:pt>
                <c:pt idx="177">
                  <c:v>-99999999999</c:v>
                </c:pt>
                <c:pt idx="178">
                  <c:v>-99999999999</c:v>
                </c:pt>
                <c:pt idx="179">
                  <c:v>-99999999999</c:v>
                </c:pt>
                <c:pt idx="180">
                  <c:v>-99999999999</c:v>
                </c:pt>
                <c:pt idx="181">
                  <c:v>-99999999999</c:v>
                </c:pt>
                <c:pt idx="182">
                  <c:v>-99999999999</c:v>
                </c:pt>
                <c:pt idx="183">
                  <c:v>-99999999999</c:v>
                </c:pt>
                <c:pt idx="184">
                  <c:v>-99999999999</c:v>
                </c:pt>
                <c:pt idx="185">
                  <c:v>-99999999999</c:v>
                </c:pt>
                <c:pt idx="186">
                  <c:v>-99999999999</c:v>
                </c:pt>
                <c:pt idx="187">
                  <c:v>-99999999999</c:v>
                </c:pt>
                <c:pt idx="188">
                  <c:v>-99999999999</c:v>
                </c:pt>
                <c:pt idx="189">
                  <c:v>-99999999999</c:v>
                </c:pt>
                <c:pt idx="190">
                  <c:v>-99999999999</c:v>
                </c:pt>
                <c:pt idx="191">
                  <c:v>-99999999999</c:v>
                </c:pt>
                <c:pt idx="192">
                  <c:v>-99999999999</c:v>
                </c:pt>
                <c:pt idx="193">
                  <c:v>-99999999999</c:v>
                </c:pt>
                <c:pt idx="194">
                  <c:v>-99999999999</c:v>
                </c:pt>
                <c:pt idx="195">
                  <c:v>-99999999999</c:v>
                </c:pt>
                <c:pt idx="196">
                  <c:v>-99999999999</c:v>
                </c:pt>
                <c:pt idx="197">
                  <c:v>-99999999999</c:v>
                </c:pt>
                <c:pt idx="198">
                  <c:v>-99999999999</c:v>
                </c:pt>
                <c:pt idx="199">
                  <c:v>-99999999999</c:v>
                </c:pt>
                <c:pt idx="200">
                  <c:v>-99999999999</c:v>
                </c:pt>
                <c:pt idx="201">
                  <c:v>-99999999999</c:v>
                </c:pt>
                <c:pt idx="202">
                  <c:v>-99999999999</c:v>
                </c:pt>
                <c:pt idx="203">
                  <c:v>-99999999999</c:v>
                </c:pt>
                <c:pt idx="204">
                  <c:v>-99999999999</c:v>
                </c:pt>
                <c:pt idx="205">
                  <c:v>-99999999999</c:v>
                </c:pt>
                <c:pt idx="206">
                  <c:v>-99999999999</c:v>
                </c:pt>
                <c:pt idx="207">
                  <c:v>-99999999999</c:v>
                </c:pt>
                <c:pt idx="208">
                  <c:v>-99999999999</c:v>
                </c:pt>
                <c:pt idx="209">
                  <c:v>-99999999999</c:v>
                </c:pt>
                <c:pt idx="210">
                  <c:v>-99999999999</c:v>
                </c:pt>
                <c:pt idx="211">
                  <c:v>-99999999999</c:v>
                </c:pt>
                <c:pt idx="212">
                  <c:v>-99999999999</c:v>
                </c:pt>
                <c:pt idx="213">
                  <c:v>-99999999999</c:v>
                </c:pt>
                <c:pt idx="214">
                  <c:v>-99999999999</c:v>
                </c:pt>
                <c:pt idx="215">
                  <c:v>-99999999999</c:v>
                </c:pt>
                <c:pt idx="216">
                  <c:v>-99999999999</c:v>
                </c:pt>
                <c:pt idx="217">
                  <c:v>-99999999999</c:v>
                </c:pt>
                <c:pt idx="218">
                  <c:v>-99999999999</c:v>
                </c:pt>
                <c:pt idx="219">
                  <c:v>-99999999999</c:v>
                </c:pt>
                <c:pt idx="220">
                  <c:v>-99999999999</c:v>
                </c:pt>
                <c:pt idx="221">
                  <c:v>-99999999999</c:v>
                </c:pt>
                <c:pt idx="222">
                  <c:v>-99999999999</c:v>
                </c:pt>
                <c:pt idx="223">
                  <c:v>-99999999999</c:v>
                </c:pt>
                <c:pt idx="224">
                  <c:v>-99999999999</c:v>
                </c:pt>
                <c:pt idx="225">
                  <c:v>-99999999999</c:v>
                </c:pt>
                <c:pt idx="226">
                  <c:v>-99999999999</c:v>
                </c:pt>
                <c:pt idx="227">
                  <c:v>-99999999999</c:v>
                </c:pt>
                <c:pt idx="228">
                  <c:v>-99999999999</c:v>
                </c:pt>
                <c:pt idx="229">
                  <c:v>-99999999999</c:v>
                </c:pt>
                <c:pt idx="230">
                  <c:v>-99999999999</c:v>
                </c:pt>
                <c:pt idx="231">
                  <c:v>-99999999999</c:v>
                </c:pt>
                <c:pt idx="232">
                  <c:v>-99999999999</c:v>
                </c:pt>
                <c:pt idx="233">
                  <c:v>-99999999999</c:v>
                </c:pt>
                <c:pt idx="234">
                  <c:v>-99999999999</c:v>
                </c:pt>
                <c:pt idx="235">
                  <c:v>-99999999999</c:v>
                </c:pt>
                <c:pt idx="236">
                  <c:v>-99999999999</c:v>
                </c:pt>
                <c:pt idx="237">
                  <c:v>-99999999999</c:v>
                </c:pt>
                <c:pt idx="238">
                  <c:v>-99999999999</c:v>
                </c:pt>
                <c:pt idx="239">
                  <c:v>-99999999999</c:v>
                </c:pt>
                <c:pt idx="240">
                  <c:v>-99999999999</c:v>
                </c:pt>
                <c:pt idx="241">
                  <c:v>-99999999999</c:v>
                </c:pt>
                <c:pt idx="242">
                  <c:v>-99999999999</c:v>
                </c:pt>
                <c:pt idx="243">
                  <c:v>-99999999999</c:v>
                </c:pt>
                <c:pt idx="244">
                  <c:v>-99999999999</c:v>
                </c:pt>
                <c:pt idx="245">
                  <c:v>-99999999999</c:v>
                </c:pt>
                <c:pt idx="246">
                  <c:v>-99999999999</c:v>
                </c:pt>
                <c:pt idx="247">
                  <c:v>-99999999999</c:v>
                </c:pt>
                <c:pt idx="248">
                  <c:v>-99999999999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CA6-B74B-B109-20FD15C42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721856"/>
        <c:axId val="169724160"/>
      </c:lineChart>
      <c:catAx>
        <c:axId val="16972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724160"/>
        <c:crosses val="autoZero"/>
        <c:auto val="1"/>
        <c:lblAlgn val="ctr"/>
        <c:lblOffset val="100"/>
        <c:tickLblSkip val="25"/>
        <c:tickMarkSkip val="25"/>
        <c:noMultiLvlLbl val="0"/>
      </c:catAx>
      <c:valAx>
        <c:axId val="169724160"/>
        <c:scaling>
          <c:orientation val="minMax"/>
          <c:max val="265"/>
          <c:min val="0"/>
        </c:scaling>
        <c:delete val="0"/>
        <c:axPos val="l"/>
        <c:numFmt formatCode="0" sourceLinked="0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721856"/>
        <c:crosses val="autoZero"/>
        <c:crossBetween val="midCat"/>
        <c:majorUnit val="2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trlProps/ctrlProp1.xml><?xml version="1.0" encoding="utf-8"?>
<formControlPr xmlns="http://schemas.microsoft.com/office/spreadsheetml/2009/9/main" objectType="CheckBox" checked="Checked" fmlaLink="Data!$E$2" lockText="1"/>
</file>

<file path=xl/ctrlProps/ctrlProp2.xml><?xml version="1.0" encoding="utf-8"?>
<formControlPr xmlns="http://schemas.microsoft.com/office/spreadsheetml/2009/9/main" objectType="CheckBox" checked="Checked" fmlaLink="Data!$F$2" lockText="1"/>
</file>

<file path=xl/ctrlProps/ctrlProp3.xml><?xml version="1.0" encoding="utf-8"?>
<formControlPr xmlns="http://schemas.microsoft.com/office/spreadsheetml/2009/9/main" objectType="CheckBox" checked="Checked" fmlaLink="Data!$G$2" lockText="1"/>
</file>

<file path=xl/ctrlProps/ctrlProp4.xml><?xml version="1.0" encoding="utf-8"?>
<formControlPr xmlns="http://schemas.microsoft.com/office/spreadsheetml/2009/9/main" objectType="CheckBox" fmlaLink="Data!$I$2" lockText="1"/>
</file>

<file path=xl/ctrlProps/ctrlProp5.xml><?xml version="1.0" encoding="utf-8"?>
<formControlPr xmlns="http://schemas.microsoft.com/office/spreadsheetml/2009/9/main" objectType="CheckBox" checked="Checked" fmlaLink="Data!$L$2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fmlaLink="G14" lockText="1"/>
</file>

<file path=xl/ctrlProps/ctrlProp8.xml><?xml version="1.0" encoding="utf-8"?>
<formControlPr xmlns="http://schemas.microsoft.com/office/spreadsheetml/2009/9/main" objectType="CheckBox" checked="Checked" fmlaLink="G16" lockText="1"/>
</file>

<file path=xl/ctrlProps/ctrlProp9.xml><?xml version="1.0" encoding="utf-8"?>
<formControlPr xmlns="http://schemas.microsoft.com/office/spreadsheetml/2009/9/main" objectType="CheckBox" checked="Checked" fmlaLink="G18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3</xdr:row>
      <xdr:rowOff>0</xdr:rowOff>
    </xdr:from>
    <xdr:to>
      <xdr:col>11</xdr:col>
      <xdr:colOff>457200</xdr:colOff>
      <xdr:row>26</xdr:row>
      <xdr:rowOff>171450</xdr:rowOff>
    </xdr:to>
    <xdr:graphicFrame macro="">
      <xdr:nvGraphicFramePr>
        <xdr:cNvPr id="3122" name="Chart 1">
          <a:extLst>
            <a:ext uri="{FF2B5EF4-FFF2-40B4-BE49-F238E27FC236}">
              <a16:creationId xmlns:a16="http://schemas.microsoft.com/office/drawing/2014/main" id="{00000000-0008-0000-0000-00003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22</xdr:row>
          <xdr:rowOff>19050</xdr:rowOff>
        </xdr:from>
        <xdr:to>
          <xdr:col>1</xdr:col>
          <xdr:colOff>361950</xdr:colOff>
          <xdr:row>22</xdr:row>
          <xdr:rowOff>228600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23</xdr:row>
          <xdr:rowOff>19050</xdr:rowOff>
        </xdr:from>
        <xdr:to>
          <xdr:col>1</xdr:col>
          <xdr:colOff>361950</xdr:colOff>
          <xdr:row>23</xdr:row>
          <xdr:rowOff>228600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24</xdr:row>
          <xdr:rowOff>19050</xdr:rowOff>
        </xdr:from>
        <xdr:to>
          <xdr:col>1</xdr:col>
          <xdr:colOff>361950</xdr:colOff>
          <xdr:row>24</xdr:row>
          <xdr:rowOff>228600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21</xdr:row>
          <xdr:rowOff>19050</xdr:rowOff>
        </xdr:from>
        <xdr:to>
          <xdr:col>1</xdr:col>
          <xdr:colOff>361950</xdr:colOff>
          <xdr:row>21</xdr:row>
          <xdr:rowOff>228600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20</xdr:row>
          <xdr:rowOff>19050</xdr:rowOff>
        </xdr:from>
        <xdr:to>
          <xdr:col>1</xdr:col>
          <xdr:colOff>361950</xdr:colOff>
          <xdr:row>21</xdr:row>
          <xdr:rowOff>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533400</xdr:colOff>
      <xdr:row>0</xdr:row>
      <xdr:rowOff>104775</xdr:rowOff>
    </xdr:from>
    <xdr:to>
      <xdr:col>7</xdr:col>
      <xdr:colOff>190500</xdr:colOff>
      <xdr:row>2</xdr:row>
      <xdr:rowOff>19050</xdr:rowOff>
    </xdr:to>
    <xdr:sp macro="" textlink="">
      <xdr:nvSpPr>
        <xdr:cNvPr id="3098" name="AutoShape 26">
          <a:extLst>
            <a:ext uri="{FF2B5EF4-FFF2-40B4-BE49-F238E27FC236}">
              <a16:creationId xmlns:a16="http://schemas.microsoft.com/office/drawing/2014/main" id="{00000000-0008-0000-0000-00001A0C0000}"/>
            </a:ext>
          </a:extLst>
        </xdr:cNvPr>
        <xdr:cNvSpPr>
          <a:spLocks noChangeArrowheads="1"/>
        </xdr:cNvSpPr>
      </xdr:nvSpPr>
      <xdr:spPr bwMode="auto">
        <a:xfrm>
          <a:off x="2638425" y="104775"/>
          <a:ext cx="3133725" cy="2952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blurRad="63500" dist="107763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Blue Ridge Hot Tubs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22</xdr:row>
          <xdr:rowOff>247650</xdr:rowOff>
        </xdr:from>
        <xdr:to>
          <xdr:col>4</xdr:col>
          <xdr:colOff>419100</xdr:colOff>
          <xdr:row>24</xdr:row>
          <xdr:rowOff>209550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749300</xdr:colOff>
      <xdr:row>13</xdr:row>
      <xdr:rowOff>0</xdr:rowOff>
    </xdr:from>
    <xdr:to>
      <xdr:col>5</xdr:col>
      <xdr:colOff>12700</xdr:colOff>
      <xdr:row>14</xdr:row>
      <xdr:rowOff>12700</xdr:rowOff>
    </xdr:to>
    <xdr:sp macro="" textlink="">
      <xdr:nvSpPr>
        <xdr:cNvPr id="3104" name="SpinButton1" hidden="1">
          <a:extLst>
            <a:ext uri="{63B3BB69-23CF-44E3-9099-C40C66FF867C}">
              <a14:compatExt xmlns:a14="http://schemas.microsoft.com/office/drawing/2010/main" spid="_x0000_s3104"/>
            </a:ext>
            <a:ext uri="{FF2B5EF4-FFF2-40B4-BE49-F238E27FC236}">
              <a16:creationId xmlns:a16="http://schemas.microsoft.com/office/drawing/2014/main" id="{00000000-0008-0000-0000-00002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800100</xdr:colOff>
      <xdr:row>13</xdr:row>
      <xdr:rowOff>0</xdr:rowOff>
    </xdr:from>
    <xdr:to>
      <xdr:col>4</xdr:col>
      <xdr:colOff>12700</xdr:colOff>
      <xdr:row>14</xdr:row>
      <xdr:rowOff>12700</xdr:rowOff>
    </xdr:to>
    <xdr:sp macro="" textlink="">
      <xdr:nvSpPr>
        <xdr:cNvPr id="3105" name="SpinButton2" hidden="1">
          <a:extLst>
            <a:ext uri="{63B3BB69-23CF-44E3-9099-C40C66FF867C}">
              <a14:compatExt xmlns:a14="http://schemas.microsoft.com/office/drawing/2010/main" spid="_x0000_s3105"/>
            </a:ex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800100</xdr:colOff>
      <xdr:row>13</xdr:row>
      <xdr:rowOff>0</xdr:rowOff>
    </xdr:from>
    <xdr:to>
      <xdr:col>3</xdr:col>
      <xdr:colOff>12700</xdr:colOff>
      <xdr:row>14</xdr:row>
      <xdr:rowOff>12700</xdr:rowOff>
    </xdr:to>
    <xdr:sp macro="" textlink="">
      <xdr:nvSpPr>
        <xdr:cNvPr id="3106" name="SpinButton3" hidden="1">
          <a:extLst>
            <a:ext uri="{63B3BB69-23CF-44E3-9099-C40C66FF867C}">
              <a14:compatExt xmlns:a14="http://schemas.microsoft.com/office/drawing/2010/main" spid="_x0000_s3106"/>
            </a:ext>
            <a:ext uri="{FF2B5EF4-FFF2-40B4-BE49-F238E27FC236}">
              <a16:creationId xmlns:a16="http://schemas.microsoft.com/office/drawing/2014/main" id="{00000000-0008-0000-0000-00002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800100</xdr:colOff>
      <xdr:row>15</xdr:row>
      <xdr:rowOff>0</xdr:rowOff>
    </xdr:from>
    <xdr:to>
      <xdr:col>3</xdr:col>
      <xdr:colOff>12700</xdr:colOff>
      <xdr:row>16</xdr:row>
      <xdr:rowOff>12700</xdr:rowOff>
    </xdr:to>
    <xdr:sp macro="" textlink="">
      <xdr:nvSpPr>
        <xdr:cNvPr id="3107" name="SpinButton4" hidden="1">
          <a:extLst>
            <a:ext uri="{63B3BB69-23CF-44E3-9099-C40C66FF867C}">
              <a14:compatExt xmlns:a14="http://schemas.microsoft.com/office/drawing/2010/main" spid="_x0000_s3107"/>
            </a:ex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800100</xdr:colOff>
      <xdr:row>17</xdr:row>
      <xdr:rowOff>0</xdr:rowOff>
    </xdr:from>
    <xdr:to>
      <xdr:col>3</xdr:col>
      <xdr:colOff>12700</xdr:colOff>
      <xdr:row>18</xdr:row>
      <xdr:rowOff>12700</xdr:rowOff>
    </xdr:to>
    <xdr:sp macro="" textlink="">
      <xdr:nvSpPr>
        <xdr:cNvPr id="3108" name="SpinButton5" hidden="1">
          <a:extLst>
            <a:ext uri="{63B3BB69-23CF-44E3-9099-C40C66FF867C}">
              <a14:compatExt xmlns:a14="http://schemas.microsoft.com/office/drawing/2010/main" spid="_x0000_s3108"/>
            </a:ext>
            <a:ext uri="{FF2B5EF4-FFF2-40B4-BE49-F238E27FC236}">
              <a16:creationId xmlns:a16="http://schemas.microsoft.com/office/drawing/2014/main" id="{00000000-0008-0000-0000-00002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800100</xdr:colOff>
      <xdr:row>17</xdr:row>
      <xdr:rowOff>0</xdr:rowOff>
    </xdr:from>
    <xdr:to>
      <xdr:col>4</xdr:col>
      <xdr:colOff>12700</xdr:colOff>
      <xdr:row>18</xdr:row>
      <xdr:rowOff>12700</xdr:rowOff>
    </xdr:to>
    <xdr:sp macro="" textlink="">
      <xdr:nvSpPr>
        <xdr:cNvPr id="3109" name="SpinButton6" hidden="1">
          <a:extLst>
            <a:ext uri="{63B3BB69-23CF-44E3-9099-C40C66FF867C}">
              <a14:compatExt xmlns:a14="http://schemas.microsoft.com/office/drawing/2010/main" spid="_x0000_s3109"/>
            </a:ext>
            <a:ext uri="{FF2B5EF4-FFF2-40B4-BE49-F238E27FC236}">
              <a16:creationId xmlns:a16="http://schemas.microsoft.com/office/drawing/2014/main" id="{00000000-0008-0000-0000-00002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800100</xdr:colOff>
      <xdr:row>15</xdr:row>
      <xdr:rowOff>0</xdr:rowOff>
    </xdr:from>
    <xdr:to>
      <xdr:col>4</xdr:col>
      <xdr:colOff>12700</xdr:colOff>
      <xdr:row>16</xdr:row>
      <xdr:rowOff>12700</xdr:rowOff>
    </xdr:to>
    <xdr:sp macro="" textlink="">
      <xdr:nvSpPr>
        <xdr:cNvPr id="3110" name="SpinButton7" hidden="1">
          <a:extLst>
            <a:ext uri="{63B3BB69-23CF-44E3-9099-C40C66FF867C}">
              <a14:compatExt xmlns:a14="http://schemas.microsoft.com/office/drawing/2010/main" spid="_x0000_s3110"/>
            </a:ex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749300</xdr:colOff>
      <xdr:row>15</xdr:row>
      <xdr:rowOff>0</xdr:rowOff>
    </xdr:from>
    <xdr:to>
      <xdr:col>5</xdr:col>
      <xdr:colOff>12700</xdr:colOff>
      <xdr:row>16</xdr:row>
      <xdr:rowOff>12700</xdr:rowOff>
    </xdr:to>
    <xdr:sp macro="" textlink="">
      <xdr:nvSpPr>
        <xdr:cNvPr id="3111" name="SpinButton8" hidden="1">
          <a:extLst>
            <a:ext uri="{63B3BB69-23CF-44E3-9099-C40C66FF867C}">
              <a14:compatExt xmlns:a14="http://schemas.microsoft.com/office/drawing/2010/main" spid="_x0000_s3111"/>
            </a:ext>
            <a:ext uri="{FF2B5EF4-FFF2-40B4-BE49-F238E27FC236}">
              <a16:creationId xmlns:a16="http://schemas.microsoft.com/office/drawing/2014/main" id="{00000000-0008-0000-0000-00002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749300</xdr:colOff>
      <xdr:row>17</xdr:row>
      <xdr:rowOff>0</xdr:rowOff>
    </xdr:from>
    <xdr:to>
      <xdr:col>5</xdr:col>
      <xdr:colOff>12700</xdr:colOff>
      <xdr:row>18</xdr:row>
      <xdr:rowOff>12700</xdr:rowOff>
    </xdr:to>
    <xdr:sp macro="" textlink="">
      <xdr:nvSpPr>
        <xdr:cNvPr id="3112" name="SpinButton9" hidden="1">
          <a:extLst>
            <a:ext uri="{63B3BB69-23CF-44E3-9099-C40C66FF867C}">
              <a14:compatExt xmlns:a14="http://schemas.microsoft.com/office/drawing/2010/main" spid="_x0000_s3112"/>
            </a:ext>
            <a:ext uri="{FF2B5EF4-FFF2-40B4-BE49-F238E27FC236}">
              <a16:creationId xmlns:a16="http://schemas.microsoft.com/office/drawing/2014/main" id="{00000000-0008-0000-0000-00002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800100</xdr:colOff>
      <xdr:row>7</xdr:row>
      <xdr:rowOff>0</xdr:rowOff>
    </xdr:from>
    <xdr:to>
      <xdr:col>3</xdr:col>
      <xdr:colOff>12700</xdr:colOff>
      <xdr:row>8</xdr:row>
      <xdr:rowOff>12700</xdr:rowOff>
    </xdr:to>
    <xdr:sp macro="" textlink="">
      <xdr:nvSpPr>
        <xdr:cNvPr id="3113" name="SpinButton10" hidden="1">
          <a:extLst>
            <a:ext uri="{63B3BB69-23CF-44E3-9099-C40C66FF867C}">
              <a14:compatExt xmlns:a14="http://schemas.microsoft.com/office/drawing/2010/main" spid="_x0000_s3113"/>
            </a:ext>
            <a:ext uri="{FF2B5EF4-FFF2-40B4-BE49-F238E27FC236}">
              <a16:creationId xmlns:a16="http://schemas.microsoft.com/office/drawing/2014/main" id="{00000000-0008-0000-0000-00002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787400</xdr:colOff>
      <xdr:row>7</xdr:row>
      <xdr:rowOff>0</xdr:rowOff>
    </xdr:from>
    <xdr:to>
      <xdr:col>4</xdr:col>
      <xdr:colOff>0</xdr:colOff>
      <xdr:row>8</xdr:row>
      <xdr:rowOff>12700</xdr:rowOff>
    </xdr:to>
    <xdr:sp macro="" textlink="">
      <xdr:nvSpPr>
        <xdr:cNvPr id="3114" name="SpinButton11" hidden="1">
          <a:extLst>
            <a:ext uri="{63B3BB69-23CF-44E3-9099-C40C66FF867C}">
              <a14:compatExt xmlns:a14="http://schemas.microsoft.com/office/drawing/2010/main" spid="_x0000_s3114"/>
            </a:ext>
            <a:ext uri="{FF2B5EF4-FFF2-40B4-BE49-F238E27FC236}">
              <a16:creationId xmlns:a16="http://schemas.microsoft.com/office/drawing/2014/main" id="{00000000-0008-0000-0000-00002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787400</xdr:colOff>
      <xdr:row>9</xdr:row>
      <xdr:rowOff>0</xdr:rowOff>
    </xdr:from>
    <xdr:to>
      <xdr:col>4</xdr:col>
      <xdr:colOff>0</xdr:colOff>
      <xdr:row>10</xdr:row>
      <xdr:rowOff>12700</xdr:rowOff>
    </xdr:to>
    <xdr:sp macro="" textlink="">
      <xdr:nvSpPr>
        <xdr:cNvPr id="3115" name="SpinProfit" hidden="1">
          <a:extLst>
            <a:ext uri="{63B3BB69-23CF-44E3-9099-C40C66FF867C}">
              <a14:compatExt xmlns:a14="http://schemas.microsoft.com/office/drawing/2010/main" spid="_x0000_s3115"/>
            </a:ext>
            <a:ext uri="{FF2B5EF4-FFF2-40B4-BE49-F238E27FC236}">
              <a16:creationId xmlns:a16="http://schemas.microsoft.com/office/drawing/2014/main" id="{00000000-0008-0000-0000-00002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13</xdr:row>
          <xdr:rowOff>19050</xdr:rowOff>
        </xdr:from>
        <xdr:to>
          <xdr:col>1</xdr:col>
          <xdr:colOff>361950</xdr:colOff>
          <xdr:row>13</xdr:row>
          <xdr:rowOff>247650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15</xdr:row>
          <xdr:rowOff>19050</xdr:rowOff>
        </xdr:from>
        <xdr:to>
          <xdr:col>1</xdr:col>
          <xdr:colOff>361950</xdr:colOff>
          <xdr:row>15</xdr:row>
          <xdr:rowOff>247650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17</xdr:row>
          <xdr:rowOff>19050</xdr:rowOff>
        </xdr:from>
        <xdr:to>
          <xdr:col>1</xdr:col>
          <xdr:colOff>361950</xdr:colOff>
          <xdr:row>17</xdr:row>
          <xdr:rowOff>247650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449580</xdr:colOff>
      <xdr:row>13</xdr:row>
      <xdr:rowOff>0</xdr:rowOff>
    </xdr:from>
    <xdr:to>
      <xdr:col>5</xdr:col>
      <xdr:colOff>7620</xdr:colOff>
      <xdr:row>14</xdr:row>
      <xdr:rowOff>7620</xdr:rowOff>
    </xdr:to>
    <xdr:pic>
      <xdr:nvPicPr>
        <xdr:cNvPr id="2" name="Spin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2385060"/>
          <a:ext cx="495300" cy="2743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480060</xdr:colOff>
      <xdr:row>13</xdr:row>
      <xdr:rowOff>0</xdr:rowOff>
    </xdr:from>
    <xdr:to>
      <xdr:col>4</xdr:col>
      <xdr:colOff>7620</xdr:colOff>
      <xdr:row>14</xdr:row>
      <xdr:rowOff>7620</xdr:rowOff>
    </xdr:to>
    <xdr:pic>
      <xdr:nvPicPr>
        <xdr:cNvPr id="3" name="Spin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2700" y="2385060"/>
          <a:ext cx="510540" cy="2743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480060</xdr:colOff>
      <xdr:row>13</xdr:row>
      <xdr:rowOff>0</xdr:rowOff>
    </xdr:from>
    <xdr:to>
      <xdr:col>3</xdr:col>
      <xdr:colOff>7620</xdr:colOff>
      <xdr:row>14</xdr:row>
      <xdr:rowOff>7620</xdr:rowOff>
    </xdr:to>
    <xdr:pic>
      <xdr:nvPicPr>
        <xdr:cNvPr id="4" name="SpinButton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2385060"/>
          <a:ext cx="510540" cy="2743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480060</xdr:colOff>
      <xdr:row>15</xdr:row>
      <xdr:rowOff>0</xdr:rowOff>
    </xdr:from>
    <xdr:to>
      <xdr:col>3</xdr:col>
      <xdr:colOff>7620</xdr:colOff>
      <xdr:row>16</xdr:row>
      <xdr:rowOff>7620</xdr:rowOff>
    </xdr:to>
    <xdr:pic>
      <xdr:nvPicPr>
        <xdr:cNvPr id="5" name="SpinButton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2743200"/>
          <a:ext cx="510540" cy="2743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480060</xdr:colOff>
      <xdr:row>17</xdr:row>
      <xdr:rowOff>0</xdr:rowOff>
    </xdr:from>
    <xdr:to>
      <xdr:col>3</xdr:col>
      <xdr:colOff>7620</xdr:colOff>
      <xdr:row>18</xdr:row>
      <xdr:rowOff>7620</xdr:rowOff>
    </xdr:to>
    <xdr:pic>
      <xdr:nvPicPr>
        <xdr:cNvPr id="6" name="SpinButton5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3101340"/>
          <a:ext cx="510540" cy="2743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480060</xdr:colOff>
      <xdr:row>17</xdr:row>
      <xdr:rowOff>0</xdr:rowOff>
    </xdr:from>
    <xdr:to>
      <xdr:col>4</xdr:col>
      <xdr:colOff>7620</xdr:colOff>
      <xdr:row>18</xdr:row>
      <xdr:rowOff>7620</xdr:rowOff>
    </xdr:to>
    <xdr:pic>
      <xdr:nvPicPr>
        <xdr:cNvPr id="7" name="SpinButton6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2700" y="3101340"/>
          <a:ext cx="510540" cy="2743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480060</xdr:colOff>
      <xdr:row>15</xdr:row>
      <xdr:rowOff>0</xdr:rowOff>
    </xdr:from>
    <xdr:to>
      <xdr:col>4</xdr:col>
      <xdr:colOff>7620</xdr:colOff>
      <xdr:row>16</xdr:row>
      <xdr:rowOff>7620</xdr:rowOff>
    </xdr:to>
    <xdr:pic>
      <xdr:nvPicPr>
        <xdr:cNvPr id="8" name="SpinButton7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2700" y="2743200"/>
          <a:ext cx="510540" cy="2743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449580</xdr:colOff>
      <xdr:row>15</xdr:row>
      <xdr:rowOff>0</xdr:rowOff>
    </xdr:from>
    <xdr:to>
      <xdr:col>5</xdr:col>
      <xdr:colOff>7620</xdr:colOff>
      <xdr:row>16</xdr:row>
      <xdr:rowOff>7620</xdr:rowOff>
    </xdr:to>
    <xdr:pic>
      <xdr:nvPicPr>
        <xdr:cNvPr id="9" name="SpinButton8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2743200"/>
          <a:ext cx="495300" cy="2743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449580</xdr:colOff>
      <xdr:row>17</xdr:row>
      <xdr:rowOff>0</xdr:rowOff>
    </xdr:from>
    <xdr:to>
      <xdr:col>5</xdr:col>
      <xdr:colOff>7620</xdr:colOff>
      <xdr:row>18</xdr:row>
      <xdr:rowOff>7620</xdr:rowOff>
    </xdr:to>
    <xdr:pic>
      <xdr:nvPicPr>
        <xdr:cNvPr id="10" name="SpinButton9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101340"/>
          <a:ext cx="495300" cy="2743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480060</xdr:colOff>
      <xdr:row>7</xdr:row>
      <xdr:rowOff>0</xdr:rowOff>
    </xdr:from>
    <xdr:to>
      <xdr:col>3</xdr:col>
      <xdr:colOff>7620</xdr:colOff>
      <xdr:row>8</xdr:row>
      <xdr:rowOff>7620</xdr:rowOff>
    </xdr:to>
    <xdr:pic>
      <xdr:nvPicPr>
        <xdr:cNvPr id="11" name="SpinButton10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1379220"/>
          <a:ext cx="510540" cy="2743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472440</xdr:colOff>
      <xdr:row>7</xdr:row>
      <xdr:rowOff>0</xdr:rowOff>
    </xdr:from>
    <xdr:to>
      <xdr:col>4</xdr:col>
      <xdr:colOff>0</xdr:colOff>
      <xdr:row>8</xdr:row>
      <xdr:rowOff>7620</xdr:rowOff>
    </xdr:to>
    <xdr:pic>
      <xdr:nvPicPr>
        <xdr:cNvPr id="12" name="SpinButton1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5080" y="1379220"/>
          <a:ext cx="510540" cy="2743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472440</xdr:colOff>
      <xdr:row>9</xdr:row>
      <xdr:rowOff>0</xdr:rowOff>
    </xdr:from>
    <xdr:to>
      <xdr:col>4</xdr:col>
      <xdr:colOff>0</xdr:colOff>
      <xdr:row>10</xdr:row>
      <xdr:rowOff>7620</xdr:rowOff>
    </xdr:to>
    <xdr:pic>
      <xdr:nvPicPr>
        <xdr:cNvPr id="13" name="SpinProfi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5080" y="1737360"/>
          <a:ext cx="510540" cy="2743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0.02704</cdr:x>
      <cdr:y>0.02768</cdr:y>
    </cdr:from>
    <cdr:to>
      <cdr:x>0.08662</cdr:x>
      <cdr:y>0.08255</cdr:y>
    </cdr:to>
    <cdr:sp macro="" textlink="">
      <cdr:nvSpPr>
        <cdr:cNvPr id="4097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36856" y="134468"/>
          <a:ext cx="294530" cy="26029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200" b="1" i="0" u="none" strike="noStrike" baseline="-25000">
              <a:solidFill>
                <a:srgbClr val="000000"/>
              </a:solidFill>
              <a:latin typeface="Arial"/>
              <a:cs typeface="Arial"/>
            </a:rPr>
            <a:t>2</a:t>
          </a:r>
        </a:p>
      </cdr:txBody>
    </cdr:sp>
  </cdr:relSizeAnchor>
  <cdr:relSizeAnchor xmlns:cdr="http://schemas.openxmlformats.org/drawingml/2006/chartDrawing">
    <cdr:from>
      <cdr:x>0.92245</cdr:x>
      <cdr:y>0.89613</cdr:y>
    </cdr:from>
    <cdr:to>
      <cdr:x>0.99037</cdr:x>
      <cdr:y>0.95101</cdr:y>
    </cdr:to>
    <cdr:sp macro="" textlink="">
      <cdr:nvSpPr>
        <cdr:cNvPr id="4098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563285" y="4253935"/>
          <a:ext cx="335740" cy="26029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200" b="1" i="0" u="none" strike="noStrike" baseline="-25000">
              <a:solidFill>
                <a:srgbClr val="000000"/>
              </a:solidFill>
              <a:latin typeface="Arial"/>
              <a:cs typeface="Arial"/>
            </a:rPr>
            <a:t>1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4:I29"/>
  <sheetViews>
    <sheetView showGridLines="0" showRowColHeaders="0" tabSelected="1" zoomScaleNormal="100" workbookViewId="0">
      <selection activeCell="C14" sqref="C14"/>
    </sheetView>
  </sheetViews>
  <sheetFormatPr defaultColWidth="8.77734375" defaultRowHeight="15" x14ac:dyDescent="0.2"/>
  <cols>
    <col min="1" max="1" width="2.21875" customWidth="1"/>
    <col min="2" max="2" width="10.77734375" customWidth="1"/>
    <col min="3" max="4" width="11.77734375" customWidth="1"/>
    <col min="5" max="5" width="11.21875" customWidth="1"/>
  </cols>
  <sheetData>
    <row r="4" spans="2:7" ht="34.5" x14ac:dyDescent="0.2">
      <c r="C4" s="11" t="s">
        <v>16</v>
      </c>
      <c r="D4" s="11" t="s">
        <v>17</v>
      </c>
    </row>
    <row r="5" spans="2:7" ht="7.5" customHeight="1" x14ac:dyDescent="0.2">
      <c r="C5" s="11"/>
      <c r="D5" s="11"/>
    </row>
    <row r="6" spans="2:7" ht="15.75" x14ac:dyDescent="0.25">
      <c r="B6" s="2" t="s">
        <v>21</v>
      </c>
      <c r="C6" s="28">
        <f>Data!N3</f>
        <v>122</v>
      </c>
      <c r="D6" s="28">
        <f>Data!N4</f>
        <v>78</v>
      </c>
    </row>
    <row r="7" spans="2:7" ht="7.5" customHeight="1" thickBot="1" x14ac:dyDescent="0.3">
      <c r="B7" s="2"/>
      <c r="C7" s="24"/>
      <c r="D7" s="24"/>
    </row>
    <row r="8" spans="2:7" ht="21" customHeight="1" thickBot="1" x14ac:dyDescent="0.25">
      <c r="B8" s="5" t="s">
        <v>30</v>
      </c>
      <c r="C8" s="23">
        <v>310</v>
      </c>
      <c r="D8" s="23">
        <v>300</v>
      </c>
      <c r="F8" s="26"/>
    </row>
    <row r="9" spans="2:7" ht="7.5" customHeight="1" thickBot="1" x14ac:dyDescent="0.25">
      <c r="B9" s="5"/>
      <c r="C9" s="31"/>
      <c r="D9" s="31"/>
      <c r="E9" s="27"/>
      <c r="F9" s="26"/>
    </row>
    <row r="10" spans="2:7" ht="21" customHeight="1" thickBot="1" x14ac:dyDescent="0.3">
      <c r="B10" s="2" t="s">
        <v>18</v>
      </c>
      <c r="C10" s="33">
        <f>IF(Data!J2,Data!J5,Data!N5)</f>
        <v>61220</v>
      </c>
      <c r="D10" s="34"/>
      <c r="E10" s="27"/>
      <c r="F10" s="26"/>
    </row>
    <row r="11" spans="2:7" ht="7.5" customHeight="1" x14ac:dyDescent="0.2">
      <c r="C11" s="11"/>
      <c r="D11" s="11"/>
    </row>
    <row r="12" spans="2:7" ht="15.75" x14ac:dyDescent="0.25">
      <c r="B12" s="2" t="s">
        <v>32</v>
      </c>
      <c r="C12" s="32" t="s">
        <v>19</v>
      </c>
      <c r="D12" s="32"/>
      <c r="E12" s="1" t="s">
        <v>20</v>
      </c>
    </row>
    <row r="13" spans="2:7" ht="7.5" customHeight="1" thickBot="1" x14ac:dyDescent="0.3">
      <c r="B13" s="2"/>
      <c r="C13" s="1"/>
      <c r="D13" s="1"/>
      <c r="E13" s="1"/>
    </row>
    <row r="14" spans="2:7" ht="21" customHeight="1" thickBot="1" x14ac:dyDescent="0.25">
      <c r="B14" s="12" t="s">
        <v>25</v>
      </c>
      <c r="C14" s="20">
        <v>1</v>
      </c>
      <c r="D14" s="20">
        <v>1</v>
      </c>
      <c r="E14" s="20">
        <v>200</v>
      </c>
      <c r="G14" s="30" t="b">
        <v>1</v>
      </c>
    </row>
    <row r="15" spans="2:7" ht="7.5" customHeight="1" thickBot="1" x14ac:dyDescent="0.25">
      <c r="B15" s="12"/>
      <c r="C15" s="6"/>
      <c r="D15" s="6"/>
      <c r="E15" s="4"/>
      <c r="G15" s="29"/>
    </row>
    <row r="16" spans="2:7" ht="21" customHeight="1" thickBot="1" x14ac:dyDescent="0.25">
      <c r="B16" s="12" t="s">
        <v>26</v>
      </c>
      <c r="C16" s="21">
        <v>9</v>
      </c>
      <c r="D16" s="21">
        <v>6</v>
      </c>
      <c r="E16" s="21">
        <v>1566</v>
      </c>
      <c r="G16" s="30" t="b">
        <v>1</v>
      </c>
    </row>
    <row r="17" spans="2:9" ht="7.5" customHeight="1" thickBot="1" x14ac:dyDescent="0.25">
      <c r="B17" s="12"/>
      <c r="C17" s="6"/>
      <c r="D17" s="6"/>
      <c r="E17" s="4"/>
      <c r="G17" s="29"/>
      <c r="I17" s="14"/>
    </row>
    <row r="18" spans="2:9" ht="21" customHeight="1" thickBot="1" x14ac:dyDescent="0.25">
      <c r="B18" s="12" t="s">
        <v>24</v>
      </c>
      <c r="C18" s="22">
        <v>12</v>
      </c>
      <c r="D18" s="22">
        <v>16</v>
      </c>
      <c r="E18" s="22">
        <v>2880</v>
      </c>
      <c r="G18" s="30" t="b">
        <v>1</v>
      </c>
    </row>
    <row r="19" spans="2:9" ht="7.5" customHeight="1" x14ac:dyDescent="0.2">
      <c r="B19" s="5"/>
      <c r="C19" s="7"/>
      <c r="D19" s="7"/>
      <c r="E19" s="3"/>
    </row>
    <row r="20" spans="2:9" ht="15.75" x14ac:dyDescent="0.25">
      <c r="B20" s="2" t="s">
        <v>5</v>
      </c>
    </row>
    <row r="21" spans="2:9" ht="19.899999999999999" customHeight="1" x14ac:dyDescent="0.2">
      <c r="B21" s="5" t="s">
        <v>23</v>
      </c>
    </row>
    <row r="22" spans="2:9" ht="19.899999999999999" customHeight="1" x14ac:dyDescent="0.2">
      <c r="B22" s="5" t="s">
        <v>31</v>
      </c>
    </row>
    <row r="23" spans="2:9" ht="19.899999999999999" customHeight="1" x14ac:dyDescent="0.2">
      <c r="B23" s="5" t="s">
        <v>27</v>
      </c>
    </row>
    <row r="24" spans="2:9" ht="19.899999999999999" customHeight="1" x14ac:dyDescent="0.2">
      <c r="B24" s="5" t="s">
        <v>28</v>
      </c>
    </row>
    <row r="25" spans="2:9" ht="19.899999999999999" customHeight="1" x14ac:dyDescent="0.2">
      <c r="B25" s="5" t="s">
        <v>29</v>
      </c>
    </row>
    <row r="29" spans="2:9" x14ac:dyDescent="0.2">
      <c r="E29" s="13"/>
    </row>
  </sheetData>
  <sheetProtection password="8C8B" sheet="1" objects="1" scenarios="1" selectLockedCells="1"/>
  <mergeCells count="2">
    <mergeCell ref="C12:D12"/>
    <mergeCell ref="C10:D10"/>
  </mergeCells>
  <phoneticPr fontId="2" type="noConversion"/>
  <conditionalFormatting sqref="C14:E14 C16:E16 C18:E18">
    <cfRule type="expression" dxfId="0" priority="1" stopIfTrue="1">
      <formula>$G14=FALSE</formula>
    </cfRule>
  </conditionalFormatting>
  <dataValidations count="4">
    <dataValidation type="decimal" allowBlank="1" showInputMessage="1" showErrorMessage="1" errorTitle="Invalid entry" error="Must be a number between 1 and 1000." sqref="C8:D9">
      <formula1>1</formula1>
      <formula2>1000</formula2>
    </dataValidation>
    <dataValidation type="decimal" allowBlank="1" showInputMessage="1" showErrorMessage="1" errorTitle="Invalid entry" error="Must be a number between 1 and 5000." sqref="E18">
      <formula1>1</formula1>
      <formula2>5000</formula2>
    </dataValidation>
    <dataValidation type="decimal" allowBlank="1" showInputMessage="1" showErrorMessage="1" errorTitle="Invalid entry" error="Must be a number between 1 and 2000." sqref="E16">
      <formula1>1</formula1>
      <formula2>2000</formula2>
    </dataValidation>
    <dataValidation type="decimal" allowBlank="1" showInputMessage="1" showErrorMessage="1" errorTitle="Invalid entry" error="Must be a number between 1 and 100." sqref="C14:D14">
      <formula1>1</formula1>
      <formula2>100</formula2>
    </dataValidation>
  </dataValidations>
  <pageMargins left="0.7" right="0.7" top="0.75" bottom="0.75" header="0.3" footer="0.3"/>
  <pageSetup scale="9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Check Box 19">
              <controlPr defaultSize="0" autoFill="0" autoLine="0" autoPict="0" macro="[0]!Sheet1.PumpLine">
                <anchor moveWithCells="1">
                  <from>
                    <xdr:col>1</xdr:col>
                    <xdr:colOff>57150</xdr:colOff>
                    <xdr:row>22</xdr:row>
                    <xdr:rowOff>19050</xdr:rowOff>
                  </from>
                  <to>
                    <xdr:col>1</xdr:col>
                    <xdr:colOff>361950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5" name="Check Box 20">
              <controlPr defaultSize="0" autoFill="0" autoLine="0" autoPict="0" macro="[0]!Sheet1.LaborLine">
                <anchor moveWithCells="1">
                  <from>
                    <xdr:col>1</xdr:col>
                    <xdr:colOff>57150</xdr:colOff>
                    <xdr:row>23</xdr:row>
                    <xdr:rowOff>19050</xdr:rowOff>
                  </from>
                  <to>
                    <xdr:col>1</xdr:col>
                    <xdr:colOff>361950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6" name="Check Box 21">
              <controlPr defaultSize="0" autoFill="0" autoLine="0" autoPict="0" macro="[0]!Sheet1.TubingLine">
                <anchor moveWithCells="1">
                  <from>
                    <xdr:col>1</xdr:col>
                    <xdr:colOff>57150</xdr:colOff>
                    <xdr:row>24</xdr:row>
                    <xdr:rowOff>19050</xdr:rowOff>
                  </from>
                  <to>
                    <xdr:col>1</xdr:col>
                    <xdr:colOff>361950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7" name="Check Box 22">
              <controlPr defaultSize="0" autoFill="0" autoLine="0" autoPict="0">
                <anchor moveWithCells="1">
                  <from>
                    <xdr:col>1</xdr:col>
                    <xdr:colOff>57150</xdr:colOff>
                    <xdr:row>21</xdr:row>
                    <xdr:rowOff>19050</xdr:rowOff>
                  </from>
                  <to>
                    <xdr:col>1</xdr:col>
                    <xdr:colOff>361950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8" name="Check Box 23">
              <controlPr defaultSize="0" autoFill="0" autoLine="0" autoPict="0" macro="[0]!Sheet1.show_optimal">
                <anchor moveWithCells="1">
                  <from>
                    <xdr:col>1</xdr:col>
                    <xdr:colOff>57150</xdr:colOff>
                    <xdr:row>20</xdr:row>
                    <xdr:rowOff>19050</xdr:rowOff>
                  </from>
                  <to>
                    <xdr:col>1</xdr:col>
                    <xdr:colOff>361950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9" name="Button 30">
              <controlPr defaultSize="0" print="0" autoFill="0" autoPict="0" macro="[0]!Sheet1.reset">
                <anchor moveWithCells="1" sizeWithCells="1">
                  <from>
                    <xdr:col>3</xdr:col>
                    <xdr:colOff>419100</xdr:colOff>
                    <xdr:row>22</xdr:row>
                    <xdr:rowOff>247650</xdr:rowOff>
                  </from>
                  <to>
                    <xdr:col>4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10" name="Check Box 45">
              <controlPr defaultSize="0" autoFill="0" autoLine="0" autoPict="0" macro="[0]!Sheet1.PumpConstraint">
                <anchor moveWithCells="1">
                  <from>
                    <xdr:col>1</xdr:col>
                    <xdr:colOff>57150</xdr:colOff>
                    <xdr:row>13</xdr:row>
                    <xdr:rowOff>19050</xdr:rowOff>
                  </from>
                  <to>
                    <xdr:col>1</xdr:col>
                    <xdr:colOff>361950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11" name="Check Box 46">
              <controlPr defaultSize="0" autoFill="0" autoLine="0" autoPict="0" macro="[0]!Sheet1.LaborConstraint">
                <anchor moveWithCells="1">
                  <from>
                    <xdr:col>1</xdr:col>
                    <xdr:colOff>57150</xdr:colOff>
                    <xdr:row>15</xdr:row>
                    <xdr:rowOff>19050</xdr:rowOff>
                  </from>
                  <to>
                    <xdr:col>1</xdr:col>
                    <xdr:colOff>361950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12" name="Check Box 47">
              <controlPr defaultSize="0" autoFill="0" autoLine="0" autoPict="0" macro="[0]!Sheet1.TubingConstraint">
                <anchor moveWithCells="1">
                  <from>
                    <xdr:col>1</xdr:col>
                    <xdr:colOff>57150</xdr:colOff>
                    <xdr:row>17</xdr:row>
                    <xdr:rowOff>19050</xdr:rowOff>
                  </from>
                  <to>
                    <xdr:col>1</xdr:col>
                    <xdr:colOff>361950</xdr:colOff>
                    <xdr:row>17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29"/>
  <sheetViews>
    <sheetView topLeftCell="H1" workbookViewId="0">
      <selection activeCell="I2" sqref="I2"/>
    </sheetView>
  </sheetViews>
  <sheetFormatPr defaultColWidth="8.77734375" defaultRowHeight="15" x14ac:dyDescent="0.2"/>
  <cols>
    <col min="9" max="9" width="12.5546875" bestFit="1" customWidth="1"/>
    <col min="10" max="10" width="12.5546875" customWidth="1"/>
    <col min="11" max="11" width="9" bestFit="1" customWidth="1"/>
    <col min="12" max="12" width="9.21875" customWidth="1"/>
    <col min="13" max="13" width="4.21875" customWidth="1"/>
    <col min="16" max="16" width="4.21875" customWidth="1"/>
  </cols>
  <sheetData>
    <row r="1" spans="1:24" ht="15.75" x14ac:dyDescent="0.25">
      <c r="B1" s="1" t="s">
        <v>2</v>
      </c>
      <c r="C1" s="1" t="s">
        <v>3</v>
      </c>
      <c r="D1" s="1" t="s">
        <v>4</v>
      </c>
      <c r="E1" s="1" t="s">
        <v>2</v>
      </c>
      <c r="F1" s="1" t="s">
        <v>3</v>
      </c>
      <c r="G1" s="1" t="s">
        <v>4</v>
      </c>
      <c r="H1" s="1"/>
      <c r="I1" s="35" t="s">
        <v>7</v>
      </c>
      <c r="J1" s="35"/>
      <c r="K1" s="1" t="s">
        <v>6</v>
      </c>
      <c r="L1" s="1" t="s">
        <v>22</v>
      </c>
    </row>
    <row r="2" spans="1:24" x14ac:dyDescent="0.2">
      <c r="A2" t="s">
        <v>5</v>
      </c>
      <c r="B2" s="14">
        <v>1</v>
      </c>
      <c r="C2" s="14">
        <v>1</v>
      </c>
      <c r="D2" s="14">
        <v>1</v>
      </c>
      <c r="E2" s="14" t="b">
        <v>1</v>
      </c>
      <c r="F2" s="14" t="b">
        <v>1</v>
      </c>
      <c r="G2" s="14" t="b">
        <v>1</v>
      </c>
      <c r="H2" s="14"/>
      <c r="I2" s="14" t="b">
        <v>0</v>
      </c>
      <c r="J2" s="14" t="b">
        <v>0</v>
      </c>
      <c r="K2" s="14" t="b">
        <v>1</v>
      </c>
      <c r="L2" s="14" t="b">
        <v>1</v>
      </c>
    </row>
    <row r="3" spans="1:24" ht="15.75" x14ac:dyDescent="0.25">
      <c r="B3" s="15">
        <f>'Feasible region'!C14</f>
        <v>1</v>
      </c>
      <c r="C3" s="16">
        <f>'Feasible region'!C16</f>
        <v>9</v>
      </c>
      <c r="D3" s="17">
        <f>'Feasible region'!C18</f>
        <v>12</v>
      </c>
      <c r="E3" s="15">
        <f t="shared" ref="E3:G5" si="0">B3</f>
        <v>1</v>
      </c>
      <c r="F3" s="16">
        <f t="shared" si="0"/>
        <v>9</v>
      </c>
      <c r="G3" s="17">
        <f t="shared" si="0"/>
        <v>12</v>
      </c>
      <c r="H3" s="14"/>
      <c r="I3" s="18">
        <f>'Feasible region'!C8</f>
        <v>310</v>
      </c>
      <c r="J3" s="18"/>
      <c r="K3" s="18"/>
      <c r="L3" s="14"/>
      <c r="M3" t="s">
        <v>0</v>
      </c>
      <c r="N3" s="8">
        <f>IF(L2,INDEX(Q5:Q14,MATCH(N5,V5:V14,0),1),"--")</f>
        <v>122</v>
      </c>
      <c r="O3" s="8"/>
      <c r="Q3" s="35" t="s">
        <v>12</v>
      </c>
      <c r="R3" s="35"/>
      <c r="S3" s="35"/>
      <c r="T3" s="35"/>
      <c r="U3" s="35"/>
    </row>
    <row r="4" spans="1:24" ht="16.5" thickBot="1" x14ac:dyDescent="0.3">
      <c r="B4" s="15">
        <f>'Feasible region'!D14</f>
        <v>1</v>
      </c>
      <c r="C4" s="16">
        <f>'Feasible region'!D16</f>
        <v>6</v>
      </c>
      <c r="D4" s="17">
        <f>'Feasible region'!D18</f>
        <v>16</v>
      </c>
      <c r="E4" s="15">
        <f t="shared" si="0"/>
        <v>1</v>
      </c>
      <c r="F4" s="16">
        <f t="shared" si="0"/>
        <v>6</v>
      </c>
      <c r="G4" s="17">
        <f t="shared" si="0"/>
        <v>16</v>
      </c>
      <c r="H4" s="14"/>
      <c r="I4" s="18">
        <f>'Feasible region'!D8</f>
        <v>300</v>
      </c>
      <c r="J4" s="18"/>
      <c r="K4" s="18"/>
      <c r="L4" s="14"/>
      <c r="M4" t="s">
        <v>8</v>
      </c>
      <c r="N4" s="8">
        <f>IF(L2,INDEX(R5:R14,MATCH(N5,V5:V14,0),1),"--")</f>
        <v>78</v>
      </c>
      <c r="O4" s="8"/>
      <c r="Q4" s="1" t="s">
        <v>0</v>
      </c>
      <c r="R4" s="1" t="s">
        <v>8</v>
      </c>
      <c r="S4" s="1" t="s">
        <v>9</v>
      </c>
      <c r="T4" s="1" t="s">
        <v>10</v>
      </c>
      <c r="U4" s="1" t="s">
        <v>11</v>
      </c>
      <c r="V4" s="1" t="s">
        <v>14</v>
      </c>
      <c r="W4" s="1" t="s">
        <v>15</v>
      </c>
      <c r="X4" s="9"/>
    </row>
    <row r="5" spans="1:24" ht="16.5" thickBot="1" x14ac:dyDescent="0.3">
      <c r="A5" s="1" t="s">
        <v>0</v>
      </c>
      <c r="B5" s="15">
        <f>IF('Feasible region'!G14,'Feasible region'!E14,9999999999)</f>
        <v>200</v>
      </c>
      <c r="C5" s="16">
        <f>IF('Feasible region'!G16,'Feasible region'!E16,9999999999)</f>
        <v>1566</v>
      </c>
      <c r="D5" s="17">
        <f>IF('Feasible region'!G18,'Feasible region'!E18,9999999999)</f>
        <v>2880</v>
      </c>
      <c r="E5" s="15">
        <f t="shared" si="0"/>
        <v>200</v>
      </c>
      <c r="F5" s="16">
        <f t="shared" si="0"/>
        <v>1566</v>
      </c>
      <c r="G5" s="17">
        <f t="shared" si="0"/>
        <v>2880</v>
      </c>
      <c r="H5" s="19" t="s">
        <v>1</v>
      </c>
      <c r="I5" s="18">
        <f>IF(J2,Profit,K5)</f>
        <v>61220</v>
      </c>
      <c r="J5" s="25">
        <f>K5</f>
        <v>61220</v>
      </c>
      <c r="K5" s="18">
        <f>MAX(K6:K329)</f>
        <v>61220</v>
      </c>
      <c r="L5" s="14"/>
      <c r="M5" t="s">
        <v>14</v>
      </c>
      <c r="N5">
        <f>IF(L2,W15,"--")</f>
        <v>61220</v>
      </c>
      <c r="Q5" s="9">
        <v>0</v>
      </c>
      <c r="R5" s="9">
        <v>0</v>
      </c>
      <c r="S5" s="9">
        <f>B5</f>
        <v>200</v>
      </c>
      <c r="T5" s="9">
        <f>C5</f>
        <v>1566</v>
      </c>
      <c r="U5" s="9">
        <f>D5</f>
        <v>2880</v>
      </c>
      <c r="V5">
        <f>IF(W5=1,$I$3*Q5+$I$4*R5,FALSE)</f>
        <v>0</v>
      </c>
      <c r="W5">
        <f>IF(ISERR(MIN(Q5:U5)),-99999,IF(MIN(Q5:U5)&lt;0,-99999,1))</f>
        <v>1</v>
      </c>
    </row>
    <row r="6" spans="1:24" x14ac:dyDescent="0.2">
      <c r="A6">
        <v>0</v>
      </c>
      <c r="B6">
        <f>IF(B$2,B$5/B$4-B$3/B$4*$A6,-99999999999)</f>
        <v>200</v>
      </c>
      <c r="C6">
        <f>IF(C$2,C$5/C$4-C$3/C$4*$A6,-99999999999)</f>
        <v>261</v>
      </c>
      <c r="D6">
        <f>IF(D$2,D$5/D$4-D$3/D$4*$A6,-99999999999)</f>
        <v>180</v>
      </c>
      <c r="E6">
        <f>IF(E$2,B6,-99999999999)</f>
        <v>200</v>
      </c>
      <c r="F6">
        <f>IF(F$2,C6,-99999999999)</f>
        <v>261</v>
      </c>
      <c r="G6">
        <f>IF(G$2,D6,-99999999999)</f>
        <v>180</v>
      </c>
      <c r="H6" s="8">
        <f t="array" ref="H6">MIN(IF(B6:D6&lt;&gt;-99999999999,B6:D6))</f>
        <v>180</v>
      </c>
      <c r="I6">
        <f t="shared" ref="I6:I69" si="1">IF(I$2,I$5/I$4-I$3/I$4*$A6,-99999999999)</f>
        <v>-99999999999</v>
      </c>
      <c r="K6">
        <f>IF(H6&lt;0,0,A6*$I$3+H6*$I$4)</f>
        <v>54000</v>
      </c>
      <c r="L6">
        <f>IF(L$2,IF(K6=$K$5,H6,-99999999999),-99999999999)</f>
        <v>-99999999999</v>
      </c>
      <c r="Q6" s="9">
        <f>D5/D3-D4/D3*R6</f>
        <v>108</v>
      </c>
      <c r="R6" s="9">
        <f>(C5/C4-C3/C4*D5/D3)/(1-C3/C4*D4/D3)</f>
        <v>99</v>
      </c>
      <c r="S6" s="9">
        <f>B5-B3*Q6-B4*R6</f>
        <v>-7</v>
      </c>
      <c r="T6" s="9">
        <v>0</v>
      </c>
      <c r="U6" s="9">
        <v>0</v>
      </c>
      <c r="V6" t="b">
        <f t="shared" ref="V6:V14" si="2">IF(W6=1,$I$3*Q6+$I$4*R6,FALSE)</f>
        <v>0</v>
      </c>
      <c r="W6">
        <f>IF(ISERR(MIN(Q6:U6)),-99999,IF(MIN(Q6:U6)&lt;0,-99999,1))</f>
        <v>-99999</v>
      </c>
    </row>
    <row r="7" spans="1:24" x14ac:dyDescent="0.2">
      <c r="A7">
        <v>1</v>
      </c>
      <c r="B7">
        <f t="shared" ref="B7:D26" si="3">IF(B$2,B$5/B$4-B$3/B$4*$A7,-99999999999)</f>
        <v>199</v>
      </c>
      <c r="C7">
        <f t="shared" si="3"/>
        <v>259.5</v>
      </c>
      <c r="D7">
        <f t="shared" si="3"/>
        <v>179.25</v>
      </c>
      <c r="E7">
        <f t="shared" ref="E7:E70" si="4">IF(E$2,B7,-99999999999)</f>
        <v>199</v>
      </c>
      <c r="F7">
        <f t="shared" ref="F7:F70" si="5">IF(F$2,C7,-99999999999)</f>
        <v>259.5</v>
      </c>
      <c r="G7">
        <f t="shared" ref="G7:G70" si="6">IF(G$2,D7,-99999999999)</f>
        <v>179.25</v>
      </c>
      <c r="H7" s="8">
        <f t="array" ref="H7">MIN(IF(B7:D7&lt;&gt;-99999999999,B7:D7))</f>
        <v>179.25</v>
      </c>
      <c r="I7">
        <f t="shared" si="1"/>
        <v>-99999999999</v>
      </c>
      <c r="K7">
        <f t="shared" ref="K7:K70" si="7">IF(H7&lt;0,0,A7*$I$3+H7*$I$4)</f>
        <v>54085</v>
      </c>
      <c r="L7">
        <f t="shared" ref="L7:L70" si="8">IF(L$2,IF(K7=$K$5,H7,-99999999999),-99999999999)</f>
        <v>-99999999999</v>
      </c>
      <c r="Q7" s="9">
        <f>D5/D3-D4/D3*R7</f>
        <v>79.999999999999972</v>
      </c>
      <c r="R7" s="9">
        <f>(B5-B3*D5/D3)/(B4-B3*D4/D3)</f>
        <v>120.00000000000003</v>
      </c>
      <c r="S7" s="9">
        <v>0</v>
      </c>
      <c r="T7" s="9">
        <f>C5-C3*Q7-C4*R7</f>
        <v>126</v>
      </c>
      <c r="U7" s="9">
        <v>0</v>
      </c>
      <c r="V7">
        <f t="shared" si="2"/>
        <v>60800</v>
      </c>
      <c r="W7">
        <f>IF(ISERR(MIN(Q7:U7)),-99999,IF(MIN(Q7:U7)&lt;0,-99999,1))</f>
        <v>1</v>
      </c>
    </row>
    <row r="8" spans="1:24" x14ac:dyDescent="0.2">
      <c r="A8">
        <v>2</v>
      </c>
      <c r="B8">
        <f t="shared" si="3"/>
        <v>198</v>
      </c>
      <c r="C8">
        <f t="shared" si="3"/>
        <v>258</v>
      </c>
      <c r="D8">
        <f t="shared" si="3"/>
        <v>178.5</v>
      </c>
      <c r="E8">
        <f t="shared" si="4"/>
        <v>198</v>
      </c>
      <c r="F8">
        <f t="shared" si="5"/>
        <v>258</v>
      </c>
      <c r="G8">
        <f t="shared" si="6"/>
        <v>178.5</v>
      </c>
      <c r="H8" s="8">
        <f t="array" ref="H8">MIN(IF(B8:D8&lt;&gt;-99999999999,B8:D8))</f>
        <v>178.5</v>
      </c>
      <c r="I8">
        <f t="shared" si="1"/>
        <v>-99999999999</v>
      </c>
      <c r="K8">
        <f t="shared" si="7"/>
        <v>54170</v>
      </c>
      <c r="L8">
        <f t="shared" si="8"/>
        <v>-99999999999</v>
      </c>
      <c r="Q8" s="9">
        <f>B5/B3-B4/B3*R8</f>
        <v>122</v>
      </c>
      <c r="R8" s="9">
        <f>(C5/C4-C3/C4*B5/B3)/(1-C3/C4*B4/B3)</f>
        <v>78</v>
      </c>
      <c r="S8" s="9">
        <v>0</v>
      </c>
      <c r="T8" s="9">
        <v>0</v>
      </c>
      <c r="U8" s="9">
        <f>G5-G3*Q8-G4*R8</f>
        <v>168</v>
      </c>
      <c r="V8">
        <f t="shared" si="2"/>
        <v>61220</v>
      </c>
      <c r="W8">
        <f t="shared" ref="W8:W14" si="9">IF(ISERR(MIN(Q8:U8)),-99999,IF(MIN(Q8:U8)&lt;0,-99999,1))</f>
        <v>1</v>
      </c>
    </row>
    <row r="9" spans="1:24" x14ac:dyDescent="0.2">
      <c r="A9">
        <v>3</v>
      </c>
      <c r="B9">
        <f t="shared" si="3"/>
        <v>197</v>
      </c>
      <c r="C9">
        <f t="shared" si="3"/>
        <v>256.5</v>
      </c>
      <c r="D9">
        <f t="shared" si="3"/>
        <v>177.75</v>
      </c>
      <c r="E9">
        <f t="shared" si="4"/>
        <v>197</v>
      </c>
      <c r="F9">
        <f t="shared" si="5"/>
        <v>256.5</v>
      </c>
      <c r="G9">
        <f t="shared" si="6"/>
        <v>177.75</v>
      </c>
      <c r="H9" s="8">
        <f t="array" ref="H9">MIN(IF(B9:D9&lt;&gt;-99999999999,B9:D9))</f>
        <v>177.75</v>
      </c>
      <c r="I9">
        <f t="shared" si="1"/>
        <v>-99999999999</v>
      </c>
      <c r="K9">
        <f t="shared" si="7"/>
        <v>54255</v>
      </c>
      <c r="L9">
        <f t="shared" si="8"/>
        <v>-99999999999</v>
      </c>
      <c r="Q9" s="9">
        <f>D5/D3</f>
        <v>240</v>
      </c>
      <c r="R9" s="9">
        <v>0</v>
      </c>
      <c r="S9" s="9">
        <f>B5-B3*Q9</f>
        <v>-40</v>
      </c>
      <c r="T9" s="9">
        <f>C5-C3*Q9</f>
        <v>-594</v>
      </c>
      <c r="U9" s="9">
        <v>0</v>
      </c>
      <c r="V9" t="b">
        <f t="shared" si="2"/>
        <v>0</v>
      </c>
      <c r="W9">
        <f t="shared" si="9"/>
        <v>-99999</v>
      </c>
    </row>
    <row r="10" spans="1:24" x14ac:dyDescent="0.2">
      <c r="A10">
        <v>4</v>
      </c>
      <c r="B10">
        <f t="shared" si="3"/>
        <v>196</v>
      </c>
      <c r="C10">
        <f t="shared" si="3"/>
        <v>255</v>
      </c>
      <c r="D10">
        <f t="shared" si="3"/>
        <v>177</v>
      </c>
      <c r="E10">
        <f t="shared" si="4"/>
        <v>196</v>
      </c>
      <c r="F10">
        <f t="shared" si="5"/>
        <v>255</v>
      </c>
      <c r="G10">
        <f t="shared" si="6"/>
        <v>177</v>
      </c>
      <c r="H10" s="8">
        <f t="array" ref="H10">MIN(IF(B10:D10&lt;&gt;-99999999999,B10:D10))</f>
        <v>177</v>
      </c>
      <c r="I10">
        <f t="shared" si="1"/>
        <v>-99999999999</v>
      </c>
      <c r="K10">
        <f t="shared" si="7"/>
        <v>54340</v>
      </c>
      <c r="L10">
        <f t="shared" si="8"/>
        <v>-99999999999</v>
      </c>
      <c r="Q10" s="9">
        <f>C5/C3</f>
        <v>174</v>
      </c>
      <c r="R10" s="9">
        <v>0</v>
      </c>
      <c r="S10" s="9">
        <f>B5-B3*Q10</f>
        <v>26</v>
      </c>
      <c r="T10" s="9">
        <v>0</v>
      </c>
      <c r="U10" s="9">
        <f>G5-G3*Q10</f>
        <v>792</v>
      </c>
      <c r="V10">
        <f t="shared" si="2"/>
        <v>53940</v>
      </c>
      <c r="W10">
        <f t="shared" si="9"/>
        <v>1</v>
      </c>
    </row>
    <row r="11" spans="1:24" x14ac:dyDescent="0.2">
      <c r="A11">
        <v>5</v>
      </c>
      <c r="B11">
        <f t="shared" si="3"/>
        <v>195</v>
      </c>
      <c r="C11">
        <f t="shared" si="3"/>
        <v>253.5</v>
      </c>
      <c r="D11">
        <f t="shared" si="3"/>
        <v>176.25</v>
      </c>
      <c r="E11">
        <f t="shared" si="4"/>
        <v>195</v>
      </c>
      <c r="F11">
        <f t="shared" si="5"/>
        <v>253.5</v>
      </c>
      <c r="G11">
        <f t="shared" si="6"/>
        <v>176.25</v>
      </c>
      <c r="H11" s="8">
        <f t="array" ref="H11">MIN(IF(B11:D11&lt;&gt;-99999999999,B11:D11))</f>
        <v>176.25</v>
      </c>
      <c r="I11">
        <f t="shared" si="1"/>
        <v>-99999999999</v>
      </c>
      <c r="K11">
        <f t="shared" si="7"/>
        <v>54425</v>
      </c>
      <c r="L11">
        <f t="shared" si="8"/>
        <v>-99999999999</v>
      </c>
      <c r="Q11" s="9">
        <f>B5/B3</f>
        <v>200</v>
      </c>
      <c r="R11" s="9">
        <v>0</v>
      </c>
      <c r="S11" s="9">
        <v>0</v>
      </c>
      <c r="T11" s="9">
        <f>C5-C3*Q11</f>
        <v>-234</v>
      </c>
      <c r="U11" s="9">
        <f>G5-G3*Q11</f>
        <v>480</v>
      </c>
      <c r="V11" t="b">
        <f t="shared" si="2"/>
        <v>0</v>
      </c>
      <c r="W11">
        <f t="shared" si="9"/>
        <v>-99999</v>
      </c>
    </row>
    <row r="12" spans="1:24" x14ac:dyDescent="0.2">
      <c r="A12">
        <v>6</v>
      </c>
      <c r="B12">
        <f t="shared" si="3"/>
        <v>194</v>
      </c>
      <c r="C12">
        <f t="shared" si="3"/>
        <v>252</v>
      </c>
      <c r="D12">
        <f t="shared" si="3"/>
        <v>175.5</v>
      </c>
      <c r="E12">
        <f t="shared" si="4"/>
        <v>194</v>
      </c>
      <c r="F12">
        <f t="shared" si="5"/>
        <v>252</v>
      </c>
      <c r="G12">
        <f t="shared" si="6"/>
        <v>175.5</v>
      </c>
      <c r="H12" s="8">
        <f t="array" ref="H12">MIN(IF(B12:D12&lt;&gt;-99999999999,B12:D12))</f>
        <v>175.5</v>
      </c>
      <c r="I12">
        <f t="shared" si="1"/>
        <v>-99999999999</v>
      </c>
      <c r="K12">
        <f t="shared" si="7"/>
        <v>54510</v>
      </c>
      <c r="L12">
        <f t="shared" si="8"/>
        <v>-99999999999</v>
      </c>
      <c r="Q12" s="9">
        <v>0</v>
      </c>
      <c r="R12" s="9">
        <f>G5/G4</f>
        <v>180</v>
      </c>
      <c r="S12" s="9">
        <f>B5-B4*R12</f>
        <v>20</v>
      </c>
      <c r="T12" s="9">
        <f>C5-C4*R12</f>
        <v>486</v>
      </c>
      <c r="U12" s="9">
        <v>0</v>
      </c>
      <c r="V12">
        <f t="shared" si="2"/>
        <v>54000</v>
      </c>
      <c r="W12">
        <f t="shared" si="9"/>
        <v>1</v>
      </c>
    </row>
    <row r="13" spans="1:24" x14ac:dyDescent="0.2">
      <c r="A13">
        <v>7</v>
      </c>
      <c r="B13">
        <f t="shared" si="3"/>
        <v>193</v>
      </c>
      <c r="C13">
        <f t="shared" si="3"/>
        <v>250.5</v>
      </c>
      <c r="D13">
        <f t="shared" si="3"/>
        <v>174.75</v>
      </c>
      <c r="E13">
        <f t="shared" si="4"/>
        <v>193</v>
      </c>
      <c r="F13">
        <f t="shared" si="5"/>
        <v>250.5</v>
      </c>
      <c r="G13">
        <f t="shared" si="6"/>
        <v>174.75</v>
      </c>
      <c r="H13" s="8">
        <f t="array" ref="H13">MIN(IF(B13:D13&lt;&gt;-99999999999,B13:D13))</f>
        <v>174.75</v>
      </c>
      <c r="I13">
        <f t="shared" si="1"/>
        <v>-99999999999</v>
      </c>
      <c r="K13">
        <f t="shared" si="7"/>
        <v>54595</v>
      </c>
      <c r="L13">
        <f t="shared" si="8"/>
        <v>-99999999999</v>
      </c>
      <c r="Q13" s="9">
        <v>0</v>
      </c>
      <c r="R13" s="9">
        <f>F5/F4</f>
        <v>261</v>
      </c>
      <c r="S13" s="9">
        <f>B5-B4*R13</f>
        <v>-61</v>
      </c>
      <c r="T13" s="9">
        <v>0</v>
      </c>
      <c r="U13" s="9">
        <f>G5-G4*R13</f>
        <v>-1296</v>
      </c>
      <c r="V13" t="b">
        <f t="shared" si="2"/>
        <v>0</v>
      </c>
      <c r="W13">
        <f t="shared" si="9"/>
        <v>-99999</v>
      </c>
    </row>
    <row r="14" spans="1:24" x14ac:dyDescent="0.2">
      <c r="A14">
        <v>8</v>
      </c>
      <c r="B14">
        <f t="shared" si="3"/>
        <v>192</v>
      </c>
      <c r="C14">
        <f t="shared" si="3"/>
        <v>249</v>
      </c>
      <c r="D14">
        <f t="shared" si="3"/>
        <v>174</v>
      </c>
      <c r="E14">
        <f t="shared" si="4"/>
        <v>192</v>
      </c>
      <c r="F14">
        <f t="shared" si="5"/>
        <v>249</v>
      </c>
      <c r="G14">
        <f t="shared" si="6"/>
        <v>174</v>
      </c>
      <c r="H14" s="8">
        <f t="array" ref="H14">MIN(IF(B14:D14&lt;&gt;-99999999999,B14:D14))</f>
        <v>174</v>
      </c>
      <c r="I14">
        <f t="shared" si="1"/>
        <v>-99999999999</v>
      </c>
      <c r="K14">
        <f t="shared" si="7"/>
        <v>54680</v>
      </c>
      <c r="L14">
        <f t="shared" si="8"/>
        <v>-99999999999</v>
      </c>
      <c r="Q14" s="9">
        <v>0</v>
      </c>
      <c r="R14" s="9">
        <f>B5/B4</f>
        <v>200</v>
      </c>
      <c r="S14" s="9">
        <v>0</v>
      </c>
      <c r="T14" s="9">
        <f>C5-C4*R14</f>
        <v>366</v>
      </c>
      <c r="U14" s="9">
        <f>G5-G4*R14</f>
        <v>-320</v>
      </c>
      <c r="V14" t="b">
        <f t="shared" si="2"/>
        <v>0</v>
      </c>
      <c r="W14">
        <f t="shared" si="9"/>
        <v>-99999</v>
      </c>
    </row>
    <row r="15" spans="1:24" ht="15.75" x14ac:dyDescent="0.25">
      <c r="A15">
        <v>9</v>
      </c>
      <c r="B15">
        <f t="shared" si="3"/>
        <v>191</v>
      </c>
      <c r="C15">
        <f t="shared" si="3"/>
        <v>247.5</v>
      </c>
      <c r="D15">
        <f t="shared" si="3"/>
        <v>173.25</v>
      </c>
      <c r="E15">
        <f t="shared" si="4"/>
        <v>191</v>
      </c>
      <c r="F15">
        <f t="shared" si="5"/>
        <v>247.5</v>
      </c>
      <c r="G15">
        <f t="shared" si="6"/>
        <v>173.25</v>
      </c>
      <c r="H15" s="8">
        <f t="array" ref="H15">MIN(IF(B15:D15&lt;&gt;-99999999999,B15:D15))</f>
        <v>173.25</v>
      </c>
      <c r="I15">
        <f t="shared" si="1"/>
        <v>-99999999999</v>
      </c>
      <c r="K15">
        <f t="shared" si="7"/>
        <v>54765</v>
      </c>
      <c r="L15">
        <f t="shared" si="8"/>
        <v>-99999999999</v>
      </c>
      <c r="Q15" s="9"/>
      <c r="R15" s="9"/>
      <c r="S15" s="9"/>
      <c r="T15" s="9"/>
      <c r="U15" s="9"/>
      <c r="V15" s="1" t="s">
        <v>13</v>
      </c>
      <c r="W15">
        <f t="array" ref="W15">MAX(IF(W5:W14=1,V5:V14))</f>
        <v>61220</v>
      </c>
    </row>
    <row r="16" spans="1:24" x14ac:dyDescent="0.2">
      <c r="A16">
        <v>10</v>
      </c>
      <c r="B16">
        <f t="shared" si="3"/>
        <v>190</v>
      </c>
      <c r="C16">
        <f t="shared" si="3"/>
        <v>246</v>
      </c>
      <c r="D16">
        <f t="shared" si="3"/>
        <v>172.5</v>
      </c>
      <c r="E16">
        <f t="shared" si="4"/>
        <v>190</v>
      </c>
      <c r="F16">
        <f t="shared" si="5"/>
        <v>246</v>
      </c>
      <c r="G16">
        <f t="shared" si="6"/>
        <v>172.5</v>
      </c>
      <c r="H16" s="8">
        <f t="array" ref="H16">MIN(IF(B16:D16&lt;&gt;-99999999999,B16:D16))</f>
        <v>172.5</v>
      </c>
      <c r="I16">
        <f t="shared" si="1"/>
        <v>-99999999999</v>
      </c>
      <c r="K16">
        <f t="shared" si="7"/>
        <v>54850</v>
      </c>
      <c r="L16">
        <f t="shared" si="8"/>
        <v>-99999999999</v>
      </c>
      <c r="Q16" s="9"/>
      <c r="R16" s="9"/>
      <c r="S16" s="9"/>
      <c r="T16" s="9"/>
      <c r="U16" s="9"/>
    </row>
    <row r="17" spans="1:21" x14ac:dyDescent="0.2">
      <c r="A17">
        <v>11</v>
      </c>
      <c r="B17">
        <f t="shared" si="3"/>
        <v>189</v>
      </c>
      <c r="C17">
        <f t="shared" si="3"/>
        <v>244.5</v>
      </c>
      <c r="D17">
        <f t="shared" si="3"/>
        <v>171.75</v>
      </c>
      <c r="E17">
        <f t="shared" si="4"/>
        <v>189</v>
      </c>
      <c r="F17">
        <f t="shared" si="5"/>
        <v>244.5</v>
      </c>
      <c r="G17">
        <f t="shared" si="6"/>
        <v>171.75</v>
      </c>
      <c r="H17" s="8">
        <f t="array" ref="H17">MIN(IF(B17:D17&lt;&gt;-99999999999,B17:D17))</f>
        <v>171.75</v>
      </c>
      <c r="I17">
        <f t="shared" si="1"/>
        <v>-99999999999</v>
      </c>
      <c r="K17">
        <f t="shared" si="7"/>
        <v>54935</v>
      </c>
      <c r="L17">
        <f t="shared" si="8"/>
        <v>-99999999999</v>
      </c>
      <c r="Q17" s="9"/>
      <c r="R17" s="9"/>
      <c r="S17" s="9"/>
      <c r="T17" s="9"/>
      <c r="U17" s="9"/>
    </row>
    <row r="18" spans="1:21" x14ac:dyDescent="0.2">
      <c r="A18">
        <v>12</v>
      </c>
      <c r="B18">
        <f t="shared" si="3"/>
        <v>188</v>
      </c>
      <c r="C18">
        <f t="shared" si="3"/>
        <v>243</v>
      </c>
      <c r="D18">
        <f t="shared" si="3"/>
        <v>171</v>
      </c>
      <c r="E18">
        <f t="shared" si="4"/>
        <v>188</v>
      </c>
      <c r="F18">
        <f t="shared" si="5"/>
        <v>243</v>
      </c>
      <c r="G18">
        <f t="shared" si="6"/>
        <v>171</v>
      </c>
      <c r="H18" s="8">
        <f t="array" ref="H18">MIN(IF(B18:D18&lt;&gt;-99999999999,B18:D18))</f>
        <v>171</v>
      </c>
      <c r="I18">
        <f t="shared" si="1"/>
        <v>-99999999999</v>
      </c>
      <c r="K18">
        <f t="shared" si="7"/>
        <v>55020</v>
      </c>
      <c r="L18">
        <f t="shared" si="8"/>
        <v>-99999999999</v>
      </c>
      <c r="Q18" s="9"/>
      <c r="R18" s="9"/>
      <c r="S18" s="9"/>
      <c r="T18" s="9"/>
      <c r="U18" s="9"/>
    </row>
    <row r="19" spans="1:21" x14ac:dyDescent="0.2">
      <c r="A19">
        <v>13</v>
      </c>
      <c r="B19">
        <f t="shared" si="3"/>
        <v>187</v>
      </c>
      <c r="C19">
        <f t="shared" si="3"/>
        <v>241.5</v>
      </c>
      <c r="D19">
        <f t="shared" si="3"/>
        <v>170.25</v>
      </c>
      <c r="E19">
        <f t="shared" si="4"/>
        <v>187</v>
      </c>
      <c r="F19">
        <f t="shared" si="5"/>
        <v>241.5</v>
      </c>
      <c r="G19">
        <f t="shared" si="6"/>
        <v>170.25</v>
      </c>
      <c r="H19" s="8">
        <f t="array" ref="H19">MIN(IF(B19:D19&lt;&gt;-99999999999,B19:D19))</f>
        <v>170.25</v>
      </c>
      <c r="I19">
        <f t="shared" si="1"/>
        <v>-99999999999</v>
      </c>
      <c r="K19">
        <f t="shared" si="7"/>
        <v>55105</v>
      </c>
      <c r="L19">
        <f t="shared" si="8"/>
        <v>-99999999999</v>
      </c>
    </row>
    <row r="20" spans="1:21" x14ac:dyDescent="0.2">
      <c r="A20">
        <v>14</v>
      </c>
      <c r="B20">
        <f t="shared" si="3"/>
        <v>186</v>
      </c>
      <c r="C20">
        <f t="shared" si="3"/>
        <v>240</v>
      </c>
      <c r="D20">
        <f t="shared" si="3"/>
        <v>169.5</v>
      </c>
      <c r="E20">
        <f t="shared" si="4"/>
        <v>186</v>
      </c>
      <c r="F20">
        <f t="shared" si="5"/>
        <v>240</v>
      </c>
      <c r="G20">
        <f t="shared" si="6"/>
        <v>169.5</v>
      </c>
      <c r="H20" s="8">
        <f t="array" ref="H20">MIN(IF(B20:D20&lt;&gt;-99999999999,B20:D20))</f>
        <v>169.5</v>
      </c>
      <c r="I20">
        <f t="shared" si="1"/>
        <v>-99999999999</v>
      </c>
      <c r="K20">
        <f t="shared" si="7"/>
        <v>55190</v>
      </c>
      <c r="L20">
        <f t="shared" si="8"/>
        <v>-99999999999</v>
      </c>
    </row>
    <row r="21" spans="1:21" x14ac:dyDescent="0.2">
      <c r="A21">
        <v>15</v>
      </c>
      <c r="B21">
        <f t="shared" si="3"/>
        <v>185</v>
      </c>
      <c r="C21">
        <f t="shared" si="3"/>
        <v>238.5</v>
      </c>
      <c r="D21">
        <f t="shared" si="3"/>
        <v>168.75</v>
      </c>
      <c r="E21">
        <f t="shared" si="4"/>
        <v>185</v>
      </c>
      <c r="F21">
        <f t="shared" si="5"/>
        <v>238.5</v>
      </c>
      <c r="G21">
        <f t="shared" si="6"/>
        <v>168.75</v>
      </c>
      <c r="H21" s="8">
        <f t="array" ref="H21">MIN(IF(B21:D21&lt;&gt;-99999999999,B21:D21))</f>
        <v>168.75</v>
      </c>
      <c r="I21">
        <f t="shared" si="1"/>
        <v>-99999999999</v>
      </c>
      <c r="K21">
        <f t="shared" si="7"/>
        <v>55275</v>
      </c>
      <c r="L21">
        <f t="shared" si="8"/>
        <v>-99999999999</v>
      </c>
    </row>
    <row r="22" spans="1:21" x14ac:dyDescent="0.2">
      <c r="A22">
        <v>16</v>
      </c>
      <c r="B22">
        <f t="shared" si="3"/>
        <v>184</v>
      </c>
      <c r="C22">
        <f t="shared" si="3"/>
        <v>237</v>
      </c>
      <c r="D22">
        <f t="shared" si="3"/>
        <v>168</v>
      </c>
      <c r="E22">
        <f t="shared" si="4"/>
        <v>184</v>
      </c>
      <c r="F22">
        <f t="shared" si="5"/>
        <v>237</v>
      </c>
      <c r="G22">
        <f t="shared" si="6"/>
        <v>168</v>
      </c>
      <c r="H22" s="8">
        <f t="array" ref="H22">MIN(IF(B22:D22&lt;&gt;-99999999999,B22:D22))</f>
        <v>168</v>
      </c>
      <c r="I22">
        <f t="shared" si="1"/>
        <v>-99999999999</v>
      </c>
      <c r="K22">
        <f t="shared" si="7"/>
        <v>55360</v>
      </c>
      <c r="L22">
        <f t="shared" si="8"/>
        <v>-99999999999</v>
      </c>
    </row>
    <row r="23" spans="1:21" x14ac:dyDescent="0.2">
      <c r="A23">
        <v>17</v>
      </c>
      <c r="B23">
        <f t="shared" si="3"/>
        <v>183</v>
      </c>
      <c r="C23">
        <f t="shared" si="3"/>
        <v>235.5</v>
      </c>
      <c r="D23">
        <f t="shared" si="3"/>
        <v>167.25</v>
      </c>
      <c r="E23">
        <f t="shared" si="4"/>
        <v>183</v>
      </c>
      <c r="F23">
        <f t="shared" si="5"/>
        <v>235.5</v>
      </c>
      <c r="G23">
        <f t="shared" si="6"/>
        <v>167.25</v>
      </c>
      <c r="H23" s="8">
        <f t="array" ref="H23">MIN(IF(B23:D23&lt;&gt;-99999999999,B23:D23))</f>
        <v>167.25</v>
      </c>
      <c r="I23">
        <f t="shared" si="1"/>
        <v>-99999999999</v>
      </c>
      <c r="K23">
        <f t="shared" si="7"/>
        <v>55445</v>
      </c>
      <c r="L23">
        <f t="shared" si="8"/>
        <v>-99999999999</v>
      </c>
    </row>
    <row r="24" spans="1:21" x14ac:dyDescent="0.2">
      <c r="A24">
        <v>18</v>
      </c>
      <c r="B24">
        <f t="shared" si="3"/>
        <v>182</v>
      </c>
      <c r="C24">
        <f t="shared" si="3"/>
        <v>234</v>
      </c>
      <c r="D24">
        <f t="shared" si="3"/>
        <v>166.5</v>
      </c>
      <c r="E24">
        <f t="shared" si="4"/>
        <v>182</v>
      </c>
      <c r="F24">
        <f t="shared" si="5"/>
        <v>234</v>
      </c>
      <c r="G24">
        <f t="shared" si="6"/>
        <v>166.5</v>
      </c>
      <c r="H24" s="8">
        <f t="array" ref="H24">MIN(IF(B24:D24&lt;&gt;-99999999999,B24:D24))</f>
        <v>166.5</v>
      </c>
      <c r="I24">
        <f t="shared" si="1"/>
        <v>-99999999999</v>
      </c>
      <c r="K24">
        <f t="shared" si="7"/>
        <v>55530</v>
      </c>
      <c r="L24">
        <f t="shared" si="8"/>
        <v>-99999999999</v>
      </c>
    </row>
    <row r="25" spans="1:21" x14ac:dyDescent="0.2">
      <c r="A25">
        <v>19</v>
      </c>
      <c r="B25">
        <f t="shared" si="3"/>
        <v>181</v>
      </c>
      <c r="C25">
        <f t="shared" si="3"/>
        <v>232.5</v>
      </c>
      <c r="D25">
        <f t="shared" si="3"/>
        <v>165.75</v>
      </c>
      <c r="E25">
        <f t="shared" si="4"/>
        <v>181</v>
      </c>
      <c r="F25">
        <f t="shared" si="5"/>
        <v>232.5</v>
      </c>
      <c r="G25">
        <f t="shared" si="6"/>
        <v>165.75</v>
      </c>
      <c r="H25" s="8">
        <f t="array" ref="H25">MIN(IF(B25:D25&lt;&gt;-99999999999,B25:D25))</f>
        <v>165.75</v>
      </c>
      <c r="I25">
        <f t="shared" si="1"/>
        <v>-99999999999</v>
      </c>
      <c r="K25">
        <f t="shared" si="7"/>
        <v>55615</v>
      </c>
      <c r="L25">
        <f t="shared" si="8"/>
        <v>-99999999999</v>
      </c>
    </row>
    <row r="26" spans="1:21" x14ac:dyDescent="0.2">
      <c r="A26">
        <v>20</v>
      </c>
      <c r="B26">
        <f t="shared" si="3"/>
        <v>180</v>
      </c>
      <c r="C26">
        <f t="shared" si="3"/>
        <v>231</v>
      </c>
      <c r="D26">
        <f t="shared" si="3"/>
        <v>165</v>
      </c>
      <c r="E26">
        <f t="shared" si="4"/>
        <v>180</v>
      </c>
      <c r="F26">
        <f t="shared" si="5"/>
        <v>231</v>
      </c>
      <c r="G26">
        <f t="shared" si="6"/>
        <v>165</v>
      </c>
      <c r="H26" s="8">
        <f t="array" ref="H26">MIN(IF(B26:D26&lt;&gt;-99999999999,B26:D26))</f>
        <v>165</v>
      </c>
      <c r="I26">
        <f t="shared" si="1"/>
        <v>-99999999999</v>
      </c>
      <c r="K26">
        <f t="shared" si="7"/>
        <v>55700</v>
      </c>
      <c r="L26">
        <f t="shared" si="8"/>
        <v>-99999999999</v>
      </c>
    </row>
    <row r="27" spans="1:21" x14ac:dyDescent="0.2">
      <c r="A27">
        <v>21</v>
      </c>
      <c r="B27">
        <f t="shared" ref="B27:D46" si="10">IF(B$2,B$5/B$4-B$3/B$4*$A27,-99999999999)</f>
        <v>179</v>
      </c>
      <c r="C27">
        <f t="shared" si="10"/>
        <v>229.5</v>
      </c>
      <c r="D27">
        <f t="shared" si="10"/>
        <v>164.25</v>
      </c>
      <c r="E27">
        <f t="shared" si="4"/>
        <v>179</v>
      </c>
      <c r="F27">
        <f t="shared" si="5"/>
        <v>229.5</v>
      </c>
      <c r="G27">
        <f t="shared" si="6"/>
        <v>164.25</v>
      </c>
      <c r="H27" s="8">
        <f t="array" ref="H27">MIN(IF(B27:D27&lt;&gt;-99999999999,B27:D27))</f>
        <v>164.25</v>
      </c>
      <c r="I27">
        <f t="shared" si="1"/>
        <v>-99999999999</v>
      </c>
      <c r="K27">
        <f t="shared" si="7"/>
        <v>55785</v>
      </c>
      <c r="L27">
        <f t="shared" si="8"/>
        <v>-99999999999</v>
      </c>
    </row>
    <row r="28" spans="1:21" x14ac:dyDescent="0.2">
      <c r="A28">
        <v>22</v>
      </c>
      <c r="B28">
        <f t="shared" si="10"/>
        <v>178</v>
      </c>
      <c r="C28">
        <f t="shared" si="10"/>
        <v>228</v>
      </c>
      <c r="D28">
        <f t="shared" si="10"/>
        <v>163.5</v>
      </c>
      <c r="E28">
        <f t="shared" si="4"/>
        <v>178</v>
      </c>
      <c r="F28">
        <f t="shared" si="5"/>
        <v>228</v>
      </c>
      <c r="G28">
        <f t="shared" si="6"/>
        <v>163.5</v>
      </c>
      <c r="H28" s="8">
        <f t="array" ref="H28">MIN(IF(B28:D28&lt;&gt;-99999999999,B28:D28))</f>
        <v>163.5</v>
      </c>
      <c r="I28">
        <f t="shared" si="1"/>
        <v>-99999999999</v>
      </c>
      <c r="K28">
        <f t="shared" si="7"/>
        <v>55870</v>
      </c>
      <c r="L28">
        <f t="shared" si="8"/>
        <v>-99999999999</v>
      </c>
    </row>
    <row r="29" spans="1:21" x14ac:dyDescent="0.2">
      <c r="A29">
        <v>23</v>
      </c>
      <c r="B29">
        <f t="shared" si="10"/>
        <v>177</v>
      </c>
      <c r="C29">
        <f t="shared" si="10"/>
        <v>226.5</v>
      </c>
      <c r="D29">
        <f t="shared" si="10"/>
        <v>162.75</v>
      </c>
      <c r="E29">
        <f t="shared" si="4"/>
        <v>177</v>
      </c>
      <c r="F29">
        <f t="shared" si="5"/>
        <v>226.5</v>
      </c>
      <c r="G29">
        <f t="shared" si="6"/>
        <v>162.75</v>
      </c>
      <c r="H29" s="8">
        <f t="array" ref="H29">MIN(IF(B29:D29&lt;&gt;-99999999999,B29:D29))</f>
        <v>162.75</v>
      </c>
      <c r="I29">
        <f t="shared" si="1"/>
        <v>-99999999999</v>
      </c>
      <c r="K29">
        <f t="shared" si="7"/>
        <v>55955</v>
      </c>
      <c r="L29">
        <f t="shared" si="8"/>
        <v>-99999999999</v>
      </c>
    </row>
    <row r="30" spans="1:21" x14ac:dyDescent="0.2">
      <c r="A30">
        <v>24</v>
      </c>
      <c r="B30">
        <f t="shared" si="10"/>
        <v>176</v>
      </c>
      <c r="C30">
        <f t="shared" si="10"/>
        <v>225</v>
      </c>
      <c r="D30">
        <f t="shared" si="10"/>
        <v>162</v>
      </c>
      <c r="E30">
        <f t="shared" si="4"/>
        <v>176</v>
      </c>
      <c r="F30">
        <f t="shared" si="5"/>
        <v>225</v>
      </c>
      <c r="G30">
        <f t="shared" si="6"/>
        <v>162</v>
      </c>
      <c r="H30" s="8">
        <f t="array" ref="H30">MIN(IF(B30:D30&lt;&gt;-99999999999,B30:D30))</f>
        <v>162</v>
      </c>
      <c r="I30">
        <f t="shared" si="1"/>
        <v>-99999999999</v>
      </c>
      <c r="K30">
        <f t="shared" si="7"/>
        <v>56040</v>
      </c>
      <c r="L30">
        <f t="shared" si="8"/>
        <v>-99999999999</v>
      </c>
    </row>
    <row r="31" spans="1:21" x14ac:dyDescent="0.2">
      <c r="A31">
        <v>25</v>
      </c>
      <c r="B31">
        <f t="shared" si="10"/>
        <v>175</v>
      </c>
      <c r="C31">
        <f t="shared" si="10"/>
        <v>223.5</v>
      </c>
      <c r="D31">
        <f t="shared" si="10"/>
        <v>161.25</v>
      </c>
      <c r="E31">
        <f t="shared" si="4"/>
        <v>175</v>
      </c>
      <c r="F31">
        <f t="shared" si="5"/>
        <v>223.5</v>
      </c>
      <c r="G31">
        <f t="shared" si="6"/>
        <v>161.25</v>
      </c>
      <c r="H31" s="8">
        <f t="array" ref="H31">MIN(IF(B31:D31&lt;&gt;-99999999999,B31:D31))</f>
        <v>161.25</v>
      </c>
      <c r="I31">
        <f t="shared" si="1"/>
        <v>-99999999999</v>
      </c>
      <c r="K31">
        <f t="shared" si="7"/>
        <v>56125</v>
      </c>
      <c r="L31">
        <f t="shared" si="8"/>
        <v>-99999999999</v>
      </c>
    </row>
    <row r="32" spans="1:21" x14ac:dyDescent="0.2">
      <c r="A32">
        <v>26</v>
      </c>
      <c r="B32">
        <f t="shared" si="10"/>
        <v>174</v>
      </c>
      <c r="C32">
        <f t="shared" si="10"/>
        <v>222</v>
      </c>
      <c r="D32">
        <f t="shared" si="10"/>
        <v>160.5</v>
      </c>
      <c r="E32">
        <f t="shared" si="4"/>
        <v>174</v>
      </c>
      <c r="F32">
        <f t="shared" si="5"/>
        <v>222</v>
      </c>
      <c r="G32">
        <f t="shared" si="6"/>
        <v>160.5</v>
      </c>
      <c r="H32" s="8">
        <f t="array" ref="H32">MIN(IF(B32:D32&lt;&gt;-99999999999,B32:D32))</f>
        <v>160.5</v>
      </c>
      <c r="I32">
        <f t="shared" si="1"/>
        <v>-99999999999</v>
      </c>
      <c r="K32">
        <f t="shared" si="7"/>
        <v>56210</v>
      </c>
      <c r="L32">
        <f t="shared" si="8"/>
        <v>-99999999999</v>
      </c>
    </row>
    <row r="33" spans="1:12" x14ac:dyDescent="0.2">
      <c r="A33">
        <v>27</v>
      </c>
      <c r="B33">
        <f t="shared" si="10"/>
        <v>173</v>
      </c>
      <c r="C33">
        <f t="shared" si="10"/>
        <v>220.5</v>
      </c>
      <c r="D33">
        <f t="shared" si="10"/>
        <v>159.75</v>
      </c>
      <c r="E33">
        <f t="shared" si="4"/>
        <v>173</v>
      </c>
      <c r="F33">
        <f t="shared" si="5"/>
        <v>220.5</v>
      </c>
      <c r="G33">
        <f t="shared" si="6"/>
        <v>159.75</v>
      </c>
      <c r="H33" s="8">
        <f t="array" ref="H33">MIN(IF(B33:D33&lt;&gt;-99999999999,B33:D33))</f>
        <v>159.75</v>
      </c>
      <c r="I33">
        <f t="shared" si="1"/>
        <v>-99999999999</v>
      </c>
      <c r="K33">
        <f t="shared" si="7"/>
        <v>56295</v>
      </c>
      <c r="L33">
        <f t="shared" si="8"/>
        <v>-99999999999</v>
      </c>
    </row>
    <row r="34" spans="1:12" x14ac:dyDescent="0.2">
      <c r="A34">
        <v>28</v>
      </c>
      <c r="B34">
        <f t="shared" si="10"/>
        <v>172</v>
      </c>
      <c r="C34">
        <f t="shared" si="10"/>
        <v>219</v>
      </c>
      <c r="D34">
        <f t="shared" si="10"/>
        <v>159</v>
      </c>
      <c r="E34">
        <f t="shared" si="4"/>
        <v>172</v>
      </c>
      <c r="F34">
        <f t="shared" si="5"/>
        <v>219</v>
      </c>
      <c r="G34">
        <f t="shared" si="6"/>
        <v>159</v>
      </c>
      <c r="H34" s="8">
        <f t="array" ref="H34">MIN(IF(B34:D34&lt;&gt;-99999999999,B34:D34))</f>
        <v>159</v>
      </c>
      <c r="I34">
        <f t="shared" si="1"/>
        <v>-99999999999</v>
      </c>
      <c r="K34">
        <f t="shared" si="7"/>
        <v>56380</v>
      </c>
      <c r="L34">
        <f t="shared" si="8"/>
        <v>-99999999999</v>
      </c>
    </row>
    <row r="35" spans="1:12" x14ac:dyDescent="0.2">
      <c r="A35">
        <v>29</v>
      </c>
      <c r="B35">
        <f t="shared" si="10"/>
        <v>171</v>
      </c>
      <c r="C35">
        <f t="shared" si="10"/>
        <v>217.5</v>
      </c>
      <c r="D35">
        <f t="shared" si="10"/>
        <v>158.25</v>
      </c>
      <c r="E35">
        <f t="shared" si="4"/>
        <v>171</v>
      </c>
      <c r="F35">
        <f t="shared" si="5"/>
        <v>217.5</v>
      </c>
      <c r="G35">
        <f t="shared" si="6"/>
        <v>158.25</v>
      </c>
      <c r="H35" s="8">
        <f t="array" ref="H35">MIN(IF(B35:D35&lt;&gt;-99999999999,B35:D35))</f>
        <v>158.25</v>
      </c>
      <c r="I35">
        <f t="shared" si="1"/>
        <v>-99999999999</v>
      </c>
      <c r="K35">
        <f t="shared" si="7"/>
        <v>56465</v>
      </c>
      <c r="L35">
        <f t="shared" si="8"/>
        <v>-99999999999</v>
      </c>
    </row>
    <row r="36" spans="1:12" x14ac:dyDescent="0.2">
      <c r="A36">
        <v>30</v>
      </c>
      <c r="B36">
        <f t="shared" si="10"/>
        <v>170</v>
      </c>
      <c r="C36">
        <f t="shared" si="10"/>
        <v>216</v>
      </c>
      <c r="D36">
        <f t="shared" si="10"/>
        <v>157.5</v>
      </c>
      <c r="E36">
        <f t="shared" si="4"/>
        <v>170</v>
      </c>
      <c r="F36">
        <f t="shared" si="5"/>
        <v>216</v>
      </c>
      <c r="G36">
        <f t="shared" si="6"/>
        <v>157.5</v>
      </c>
      <c r="H36" s="8">
        <f t="array" ref="H36">MIN(IF(B36:D36&lt;&gt;-99999999999,B36:D36))</f>
        <v>157.5</v>
      </c>
      <c r="I36">
        <f t="shared" si="1"/>
        <v>-99999999999</v>
      </c>
      <c r="K36">
        <f t="shared" si="7"/>
        <v>56550</v>
      </c>
      <c r="L36">
        <f t="shared" si="8"/>
        <v>-99999999999</v>
      </c>
    </row>
    <row r="37" spans="1:12" x14ac:dyDescent="0.2">
      <c r="A37">
        <v>31</v>
      </c>
      <c r="B37">
        <f t="shared" si="10"/>
        <v>169</v>
      </c>
      <c r="C37">
        <f t="shared" si="10"/>
        <v>214.5</v>
      </c>
      <c r="D37">
        <f t="shared" si="10"/>
        <v>156.75</v>
      </c>
      <c r="E37">
        <f t="shared" si="4"/>
        <v>169</v>
      </c>
      <c r="F37">
        <f t="shared" si="5"/>
        <v>214.5</v>
      </c>
      <c r="G37">
        <f t="shared" si="6"/>
        <v>156.75</v>
      </c>
      <c r="H37" s="8">
        <f t="array" ref="H37">MIN(IF(B37:D37&lt;&gt;-99999999999,B37:D37))</f>
        <v>156.75</v>
      </c>
      <c r="I37">
        <f t="shared" si="1"/>
        <v>-99999999999</v>
      </c>
      <c r="K37">
        <f t="shared" si="7"/>
        <v>56635</v>
      </c>
      <c r="L37">
        <f t="shared" si="8"/>
        <v>-99999999999</v>
      </c>
    </row>
    <row r="38" spans="1:12" x14ac:dyDescent="0.2">
      <c r="A38">
        <v>32</v>
      </c>
      <c r="B38">
        <f t="shared" si="10"/>
        <v>168</v>
      </c>
      <c r="C38">
        <f t="shared" si="10"/>
        <v>213</v>
      </c>
      <c r="D38">
        <f t="shared" si="10"/>
        <v>156</v>
      </c>
      <c r="E38">
        <f t="shared" si="4"/>
        <v>168</v>
      </c>
      <c r="F38">
        <f t="shared" si="5"/>
        <v>213</v>
      </c>
      <c r="G38">
        <f t="shared" si="6"/>
        <v>156</v>
      </c>
      <c r="H38" s="8">
        <f t="array" ref="H38">MIN(IF(B38:D38&lt;&gt;-99999999999,B38:D38))</f>
        <v>156</v>
      </c>
      <c r="I38">
        <f t="shared" si="1"/>
        <v>-99999999999</v>
      </c>
      <c r="K38">
        <f t="shared" si="7"/>
        <v>56720</v>
      </c>
      <c r="L38">
        <f t="shared" si="8"/>
        <v>-99999999999</v>
      </c>
    </row>
    <row r="39" spans="1:12" x14ac:dyDescent="0.2">
      <c r="A39">
        <v>33</v>
      </c>
      <c r="B39">
        <f t="shared" si="10"/>
        <v>167</v>
      </c>
      <c r="C39">
        <f t="shared" si="10"/>
        <v>211.5</v>
      </c>
      <c r="D39">
        <f t="shared" si="10"/>
        <v>155.25</v>
      </c>
      <c r="E39">
        <f t="shared" si="4"/>
        <v>167</v>
      </c>
      <c r="F39">
        <f t="shared" si="5"/>
        <v>211.5</v>
      </c>
      <c r="G39">
        <f t="shared" si="6"/>
        <v>155.25</v>
      </c>
      <c r="H39" s="8">
        <f t="array" ref="H39">MIN(IF(B39:D39&lt;&gt;-99999999999,B39:D39))</f>
        <v>155.25</v>
      </c>
      <c r="I39">
        <f t="shared" si="1"/>
        <v>-99999999999</v>
      </c>
      <c r="K39">
        <f t="shared" si="7"/>
        <v>56805</v>
      </c>
      <c r="L39">
        <f t="shared" si="8"/>
        <v>-99999999999</v>
      </c>
    </row>
    <row r="40" spans="1:12" x14ac:dyDescent="0.2">
      <c r="A40">
        <v>34</v>
      </c>
      <c r="B40">
        <f t="shared" si="10"/>
        <v>166</v>
      </c>
      <c r="C40">
        <f t="shared" si="10"/>
        <v>210</v>
      </c>
      <c r="D40">
        <f t="shared" si="10"/>
        <v>154.5</v>
      </c>
      <c r="E40">
        <f t="shared" si="4"/>
        <v>166</v>
      </c>
      <c r="F40">
        <f t="shared" si="5"/>
        <v>210</v>
      </c>
      <c r="G40">
        <f t="shared" si="6"/>
        <v>154.5</v>
      </c>
      <c r="H40" s="8">
        <f t="array" ref="H40">MIN(IF(B40:D40&lt;&gt;-99999999999,B40:D40))</f>
        <v>154.5</v>
      </c>
      <c r="I40">
        <f t="shared" si="1"/>
        <v>-99999999999</v>
      </c>
      <c r="K40">
        <f t="shared" si="7"/>
        <v>56890</v>
      </c>
      <c r="L40">
        <f t="shared" si="8"/>
        <v>-99999999999</v>
      </c>
    </row>
    <row r="41" spans="1:12" x14ac:dyDescent="0.2">
      <c r="A41">
        <v>35</v>
      </c>
      <c r="B41">
        <f t="shared" si="10"/>
        <v>165</v>
      </c>
      <c r="C41">
        <f t="shared" si="10"/>
        <v>208.5</v>
      </c>
      <c r="D41">
        <f t="shared" si="10"/>
        <v>153.75</v>
      </c>
      <c r="E41">
        <f t="shared" si="4"/>
        <v>165</v>
      </c>
      <c r="F41">
        <f t="shared" si="5"/>
        <v>208.5</v>
      </c>
      <c r="G41">
        <f t="shared" si="6"/>
        <v>153.75</v>
      </c>
      <c r="H41" s="8">
        <f t="array" ref="H41">MIN(IF(B41:D41&lt;&gt;-99999999999,B41:D41))</f>
        <v>153.75</v>
      </c>
      <c r="I41">
        <f t="shared" si="1"/>
        <v>-99999999999</v>
      </c>
      <c r="K41">
        <f t="shared" si="7"/>
        <v>56975</v>
      </c>
      <c r="L41">
        <f t="shared" si="8"/>
        <v>-99999999999</v>
      </c>
    </row>
    <row r="42" spans="1:12" x14ac:dyDescent="0.2">
      <c r="A42">
        <v>36</v>
      </c>
      <c r="B42">
        <f t="shared" si="10"/>
        <v>164</v>
      </c>
      <c r="C42">
        <f t="shared" si="10"/>
        <v>207</v>
      </c>
      <c r="D42">
        <f t="shared" si="10"/>
        <v>153</v>
      </c>
      <c r="E42">
        <f t="shared" si="4"/>
        <v>164</v>
      </c>
      <c r="F42">
        <f t="shared" si="5"/>
        <v>207</v>
      </c>
      <c r="G42">
        <f t="shared" si="6"/>
        <v>153</v>
      </c>
      <c r="H42" s="8">
        <f t="array" ref="H42">MIN(IF(B42:D42&lt;&gt;-99999999999,B42:D42))</f>
        <v>153</v>
      </c>
      <c r="I42">
        <f t="shared" si="1"/>
        <v>-99999999999</v>
      </c>
      <c r="K42">
        <f t="shared" si="7"/>
        <v>57060</v>
      </c>
      <c r="L42">
        <f t="shared" si="8"/>
        <v>-99999999999</v>
      </c>
    </row>
    <row r="43" spans="1:12" x14ac:dyDescent="0.2">
      <c r="A43">
        <v>37</v>
      </c>
      <c r="B43">
        <f t="shared" si="10"/>
        <v>163</v>
      </c>
      <c r="C43">
        <f t="shared" si="10"/>
        <v>205.5</v>
      </c>
      <c r="D43">
        <f t="shared" si="10"/>
        <v>152.25</v>
      </c>
      <c r="E43">
        <f t="shared" si="4"/>
        <v>163</v>
      </c>
      <c r="F43">
        <f t="shared" si="5"/>
        <v>205.5</v>
      </c>
      <c r="G43">
        <f t="shared" si="6"/>
        <v>152.25</v>
      </c>
      <c r="H43" s="8">
        <f t="array" ref="H43">MIN(IF(B43:D43&lt;&gt;-99999999999,B43:D43))</f>
        <v>152.25</v>
      </c>
      <c r="I43">
        <f t="shared" si="1"/>
        <v>-99999999999</v>
      </c>
      <c r="K43">
        <f t="shared" si="7"/>
        <v>57145</v>
      </c>
      <c r="L43">
        <f t="shared" si="8"/>
        <v>-99999999999</v>
      </c>
    </row>
    <row r="44" spans="1:12" x14ac:dyDescent="0.2">
      <c r="A44">
        <v>38</v>
      </c>
      <c r="B44">
        <f t="shared" si="10"/>
        <v>162</v>
      </c>
      <c r="C44">
        <f t="shared" si="10"/>
        <v>204</v>
      </c>
      <c r="D44">
        <f t="shared" si="10"/>
        <v>151.5</v>
      </c>
      <c r="E44">
        <f t="shared" si="4"/>
        <v>162</v>
      </c>
      <c r="F44">
        <f t="shared" si="5"/>
        <v>204</v>
      </c>
      <c r="G44">
        <f t="shared" si="6"/>
        <v>151.5</v>
      </c>
      <c r="H44" s="8">
        <f t="array" ref="H44">MIN(IF(B44:D44&lt;&gt;-99999999999,B44:D44))</f>
        <v>151.5</v>
      </c>
      <c r="I44">
        <f t="shared" si="1"/>
        <v>-99999999999</v>
      </c>
      <c r="K44">
        <f t="shared" si="7"/>
        <v>57230</v>
      </c>
      <c r="L44">
        <f t="shared" si="8"/>
        <v>-99999999999</v>
      </c>
    </row>
    <row r="45" spans="1:12" x14ac:dyDescent="0.2">
      <c r="A45">
        <v>39</v>
      </c>
      <c r="B45">
        <f t="shared" si="10"/>
        <v>161</v>
      </c>
      <c r="C45">
        <f t="shared" si="10"/>
        <v>202.5</v>
      </c>
      <c r="D45">
        <f t="shared" si="10"/>
        <v>150.75</v>
      </c>
      <c r="E45">
        <f t="shared" si="4"/>
        <v>161</v>
      </c>
      <c r="F45">
        <f t="shared" si="5"/>
        <v>202.5</v>
      </c>
      <c r="G45">
        <f t="shared" si="6"/>
        <v>150.75</v>
      </c>
      <c r="H45" s="8">
        <f t="array" ref="H45">MIN(IF(B45:D45&lt;&gt;-99999999999,B45:D45))</f>
        <v>150.75</v>
      </c>
      <c r="I45">
        <f t="shared" si="1"/>
        <v>-99999999999</v>
      </c>
      <c r="K45">
        <f t="shared" si="7"/>
        <v>57315</v>
      </c>
      <c r="L45">
        <f t="shared" si="8"/>
        <v>-99999999999</v>
      </c>
    </row>
    <row r="46" spans="1:12" x14ac:dyDescent="0.2">
      <c r="A46">
        <v>40</v>
      </c>
      <c r="B46">
        <f t="shared" si="10"/>
        <v>160</v>
      </c>
      <c r="C46">
        <f t="shared" si="10"/>
        <v>201</v>
      </c>
      <c r="D46">
        <f t="shared" si="10"/>
        <v>150</v>
      </c>
      <c r="E46">
        <f t="shared" si="4"/>
        <v>160</v>
      </c>
      <c r="F46">
        <f t="shared" si="5"/>
        <v>201</v>
      </c>
      <c r="G46">
        <f t="shared" si="6"/>
        <v>150</v>
      </c>
      <c r="H46" s="8">
        <f t="array" ref="H46">MIN(IF(B46:D46&lt;&gt;-99999999999,B46:D46))</f>
        <v>150</v>
      </c>
      <c r="I46">
        <f t="shared" si="1"/>
        <v>-99999999999</v>
      </c>
      <c r="K46">
        <f t="shared" si="7"/>
        <v>57400</v>
      </c>
      <c r="L46">
        <f t="shared" si="8"/>
        <v>-99999999999</v>
      </c>
    </row>
    <row r="47" spans="1:12" x14ac:dyDescent="0.2">
      <c r="A47">
        <v>41</v>
      </c>
      <c r="B47">
        <f t="shared" ref="B47:D66" si="11">IF(B$2,B$5/B$4-B$3/B$4*$A47,-99999999999)</f>
        <v>159</v>
      </c>
      <c r="C47">
        <f t="shared" si="11"/>
        <v>199.5</v>
      </c>
      <c r="D47">
        <f t="shared" si="11"/>
        <v>149.25</v>
      </c>
      <c r="E47">
        <f t="shared" si="4"/>
        <v>159</v>
      </c>
      <c r="F47">
        <f t="shared" si="5"/>
        <v>199.5</v>
      </c>
      <c r="G47">
        <f t="shared" si="6"/>
        <v>149.25</v>
      </c>
      <c r="H47" s="8">
        <f t="array" ref="H47">MIN(IF(B47:D47&lt;&gt;-99999999999,B47:D47))</f>
        <v>149.25</v>
      </c>
      <c r="I47">
        <f t="shared" si="1"/>
        <v>-99999999999</v>
      </c>
      <c r="K47">
        <f t="shared" si="7"/>
        <v>57485</v>
      </c>
      <c r="L47">
        <f t="shared" si="8"/>
        <v>-99999999999</v>
      </c>
    </row>
    <row r="48" spans="1:12" x14ac:dyDescent="0.2">
      <c r="A48">
        <v>42</v>
      </c>
      <c r="B48">
        <f t="shared" si="11"/>
        <v>158</v>
      </c>
      <c r="C48">
        <f t="shared" si="11"/>
        <v>198</v>
      </c>
      <c r="D48">
        <f t="shared" si="11"/>
        <v>148.5</v>
      </c>
      <c r="E48">
        <f t="shared" si="4"/>
        <v>158</v>
      </c>
      <c r="F48">
        <f t="shared" si="5"/>
        <v>198</v>
      </c>
      <c r="G48">
        <f t="shared" si="6"/>
        <v>148.5</v>
      </c>
      <c r="H48" s="8">
        <f t="array" ref="H48">MIN(IF(B48:D48&lt;&gt;-99999999999,B48:D48))</f>
        <v>148.5</v>
      </c>
      <c r="I48">
        <f t="shared" si="1"/>
        <v>-99999999999</v>
      </c>
      <c r="K48">
        <f t="shared" si="7"/>
        <v>57570</v>
      </c>
      <c r="L48">
        <f t="shared" si="8"/>
        <v>-99999999999</v>
      </c>
    </row>
    <row r="49" spans="1:12" x14ac:dyDescent="0.2">
      <c r="A49">
        <v>43</v>
      </c>
      <c r="B49">
        <f t="shared" si="11"/>
        <v>157</v>
      </c>
      <c r="C49">
        <f t="shared" si="11"/>
        <v>196.5</v>
      </c>
      <c r="D49">
        <f t="shared" si="11"/>
        <v>147.75</v>
      </c>
      <c r="E49">
        <f t="shared" si="4"/>
        <v>157</v>
      </c>
      <c r="F49">
        <f t="shared" si="5"/>
        <v>196.5</v>
      </c>
      <c r="G49">
        <f t="shared" si="6"/>
        <v>147.75</v>
      </c>
      <c r="H49" s="8">
        <f t="array" ref="H49">MIN(IF(B49:D49&lt;&gt;-99999999999,B49:D49))</f>
        <v>147.75</v>
      </c>
      <c r="I49">
        <f t="shared" si="1"/>
        <v>-99999999999</v>
      </c>
      <c r="K49">
        <f t="shared" si="7"/>
        <v>57655</v>
      </c>
      <c r="L49">
        <f t="shared" si="8"/>
        <v>-99999999999</v>
      </c>
    </row>
    <row r="50" spans="1:12" x14ac:dyDescent="0.2">
      <c r="A50">
        <v>44</v>
      </c>
      <c r="B50">
        <f t="shared" si="11"/>
        <v>156</v>
      </c>
      <c r="C50">
        <f t="shared" si="11"/>
        <v>195</v>
      </c>
      <c r="D50">
        <f t="shared" si="11"/>
        <v>147</v>
      </c>
      <c r="E50">
        <f t="shared" si="4"/>
        <v>156</v>
      </c>
      <c r="F50">
        <f t="shared" si="5"/>
        <v>195</v>
      </c>
      <c r="G50">
        <f t="shared" si="6"/>
        <v>147</v>
      </c>
      <c r="H50" s="8">
        <f t="array" ref="H50">MIN(IF(B50:D50&lt;&gt;-99999999999,B50:D50))</f>
        <v>147</v>
      </c>
      <c r="I50">
        <f t="shared" si="1"/>
        <v>-99999999999</v>
      </c>
      <c r="K50">
        <f t="shared" si="7"/>
        <v>57740</v>
      </c>
      <c r="L50">
        <f t="shared" si="8"/>
        <v>-99999999999</v>
      </c>
    </row>
    <row r="51" spans="1:12" x14ac:dyDescent="0.2">
      <c r="A51">
        <v>45</v>
      </c>
      <c r="B51">
        <f t="shared" si="11"/>
        <v>155</v>
      </c>
      <c r="C51">
        <f t="shared" si="11"/>
        <v>193.5</v>
      </c>
      <c r="D51">
        <f t="shared" si="11"/>
        <v>146.25</v>
      </c>
      <c r="E51">
        <f t="shared" si="4"/>
        <v>155</v>
      </c>
      <c r="F51">
        <f t="shared" si="5"/>
        <v>193.5</v>
      </c>
      <c r="G51">
        <f t="shared" si="6"/>
        <v>146.25</v>
      </c>
      <c r="H51" s="8">
        <f t="array" ref="H51">MIN(IF(B51:D51&lt;&gt;-99999999999,B51:D51))</f>
        <v>146.25</v>
      </c>
      <c r="I51">
        <f t="shared" si="1"/>
        <v>-99999999999</v>
      </c>
      <c r="K51">
        <f t="shared" si="7"/>
        <v>57825</v>
      </c>
      <c r="L51">
        <f t="shared" si="8"/>
        <v>-99999999999</v>
      </c>
    </row>
    <row r="52" spans="1:12" x14ac:dyDescent="0.2">
      <c r="A52">
        <v>46</v>
      </c>
      <c r="B52">
        <f t="shared" si="11"/>
        <v>154</v>
      </c>
      <c r="C52">
        <f t="shared" si="11"/>
        <v>192</v>
      </c>
      <c r="D52">
        <f t="shared" si="11"/>
        <v>145.5</v>
      </c>
      <c r="E52">
        <f t="shared" si="4"/>
        <v>154</v>
      </c>
      <c r="F52">
        <f t="shared" si="5"/>
        <v>192</v>
      </c>
      <c r="G52">
        <f t="shared" si="6"/>
        <v>145.5</v>
      </c>
      <c r="H52" s="8">
        <f t="array" ref="H52">MIN(IF(B52:D52&lt;&gt;-99999999999,B52:D52))</f>
        <v>145.5</v>
      </c>
      <c r="I52">
        <f t="shared" si="1"/>
        <v>-99999999999</v>
      </c>
      <c r="K52">
        <f t="shared" si="7"/>
        <v>57910</v>
      </c>
      <c r="L52">
        <f t="shared" si="8"/>
        <v>-99999999999</v>
      </c>
    </row>
    <row r="53" spans="1:12" x14ac:dyDescent="0.2">
      <c r="A53">
        <v>47</v>
      </c>
      <c r="B53">
        <f t="shared" si="11"/>
        <v>153</v>
      </c>
      <c r="C53">
        <f t="shared" si="11"/>
        <v>190.5</v>
      </c>
      <c r="D53">
        <f t="shared" si="11"/>
        <v>144.75</v>
      </c>
      <c r="E53">
        <f t="shared" si="4"/>
        <v>153</v>
      </c>
      <c r="F53">
        <f t="shared" si="5"/>
        <v>190.5</v>
      </c>
      <c r="G53">
        <f t="shared" si="6"/>
        <v>144.75</v>
      </c>
      <c r="H53" s="8">
        <f t="array" ref="H53">MIN(IF(B53:D53&lt;&gt;-99999999999,B53:D53))</f>
        <v>144.75</v>
      </c>
      <c r="I53">
        <f t="shared" si="1"/>
        <v>-99999999999</v>
      </c>
      <c r="K53">
        <f t="shared" si="7"/>
        <v>57995</v>
      </c>
      <c r="L53">
        <f t="shared" si="8"/>
        <v>-99999999999</v>
      </c>
    </row>
    <row r="54" spans="1:12" x14ac:dyDescent="0.2">
      <c r="A54">
        <v>48</v>
      </c>
      <c r="B54">
        <f t="shared" si="11"/>
        <v>152</v>
      </c>
      <c r="C54">
        <f t="shared" si="11"/>
        <v>189</v>
      </c>
      <c r="D54">
        <f t="shared" si="11"/>
        <v>144</v>
      </c>
      <c r="E54">
        <f t="shared" si="4"/>
        <v>152</v>
      </c>
      <c r="F54">
        <f t="shared" si="5"/>
        <v>189</v>
      </c>
      <c r="G54">
        <f t="shared" si="6"/>
        <v>144</v>
      </c>
      <c r="H54" s="8">
        <f t="array" ref="H54">MIN(IF(B54:D54&lt;&gt;-99999999999,B54:D54))</f>
        <v>144</v>
      </c>
      <c r="I54">
        <f t="shared" si="1"/>
        <v>-99999999999</v>
      </c>
      <c r="K54">
        <f t="shared" si="7"/>
        <v>58080</v>
      </c>
      <c r="L54">
        <f t="shared" si="8"/>
        <v>-99999999999</v>
      </c>
    </row>
    <row r="55" spans="1:12" x14ac:dyDescent="0.2">
      <c r="A55">
        <v>49</v>
      </c>
      <c r="B55">
        <f t="shared" si="11"/>
        <v>151</v>
      </c>
      <c r="C55">
        <f t="shared" si="11"/>
        <v>187.5</v>
      </c>
      <c r="D55">
        <f t="shared" si="11"/>
        <v>143.25</v>
      </c>
      <c r="E55">
        <f t="shared" si="4"/>
        <v>151</v>
      </c>
      <c r="F55">
        <f t="shared" si="5"/>
        <v>187.5</v>
      </c>
      <c r="G55">
        <f t="shared" si="6"/>
        <v>143.25</v>
      </c>
      <c r="H55" s="8">
        <f t="array" ref="H55">MIN(IF(B55:D55&lt;&gt;-99999999999,B55:D55))</f>
        <v>143.25</v>
      </c>
      <c r="I55">
        <f t="shared" si="1"/>
        <v>-99999999999</v>
      </c>
      <c r="K55">
        <f t="shared" si="7"/>
        <v>58165</v>
      </c>
      <c r="L55">
        <f t="shared" si="8"/>
        <v>-99999999999</v>
      </c>
    </row>
    <row r="56" spans="1:12" x14ac:dyDescent="0.2">
      <c r="A56">
        <v>50</v>
      </c>
      <c r="B56">
        <f t="shared" si="11"/>
        <v>150</v>
      </c>
      <c r="C56">
        <f t="shared" si="11"/>
        <v>186</v>
      </c>
      <c r="D56">
        <f t="shared" si="11"/>
        <v>142.5</v>
      </c>
      <c r="E56">
        <f t="shared" si="4"/>
        <v>150</v>
      </c>
      <c r="F56">
        <f t="shared" si="5"/>
        <v>186</v>
      </c>
      <c r="G56">
        <f t="shared" si="6"/>
        <v>142.5</v>
      </c>
      <c r="H56" s="8">
        <f t="array" ref="H56">MIN(IF(B56:D56&lt;&gt;-99999999999,B56:D56))</f>
        <v>142.5</v>
      </c>
      <c r="I56">
        <f t="shared" si="1"/>
        <v>-99999999999</v>
      </c>
      <c r="K56">
        <f t="shared" si="7"/>
        <v>58250</v>
      </c>
      <c r="L56">
        <f t="shared" si="8"/>
        <v>-99999999999</v>
      </c>
    </row>
    <row r="57" spans="1:12" x14ac:dyDescent="0.2">
      <c r="A57">
        <v>51</v>
      </c>
      <c r="B57">
        <f t="shared" si="11"/>
        <v>149</v>
      </c>
      <c r="C57">
        <f t="shared" si="11"/>
        <v>184.5</v>
      </c>
      <c r="D57">
        <f t="shared" si="11"/>
        <v>141.75</v>
      </c>
      <c r="E57">
        <f t="shared" si="4"/>
        <v>149</v>
      </c>
      <c r="F57">
        <f t="shared" si="5"/>
        <v>184.5</v>
      </c>
      <c r="G57">
        <f t="shared" si="6"/>
        <v>141.75</v>
      </c>
      <c r="H57" s="8">
        <f t="array" ref="H57">MIN(IF(B57:D57&lt;&gt;-99999999999,B57:D57))</f>
        <v>141.75</v>
      </c>
      <c r="I57">
        <f t="shared" si="1"/>
        <v>-99999999999</v>
      </c>
      <c r="K57">
        <f t="shared" si="7"/>
        <v>58335</v>
      </c>
      <c r="L57">
        <f t="shared" si="8"/>
        <v>-99999999999</v>
      </c>
    </row>
    <row r="58" spans="1:12" x14ac:dyDescent="0.2">
      <c r="A58">
        <v>52</v>
      </c>
      <c r="B58">
        <f t="shared" si="11"/>
        <v>148</v>
      </c>
      <c r="C58">
        <f t="shared" si="11"/>
        <v>183</v>
      </c>
      <c r="D58">
        <f t="shared" si="11"/>
        <v>141</v>
      </c>
      <c r="E58">
        <f t="shared" si="4"/>
        <v>148</v>
      </c>
      <c r="F58">
        <f t="shared" si="5"/>
        <v>183</v>
      </c>
      <c r="G58">
        <f t="shared" si="6"/>
        <v>141</v>
      </c>
      <c r="H58" s="8">
        <f t="array" ref="H58">MIN(IF(B58:D58&lt;&gt;-99999999999,B58:D58))</f>
        <v>141</v>
      </c>
      <c r="I58">
        <f t="shared" si="1"/>
        <v>-99999999999</v>
      </c>
      <c r="K58">
        <f t="shared" si="7"/>
        <v>58420</v>
      </c>
      <c r="L58">
        <f t="shared" si="8"/>
        <v>-99999999999</v>
      </c>
    </row>
    <row r="59" spans="1:12" x14ac:dyDescent="0.2">
      <c r="A59">
        <v>53</v>
      </c>
      <c r="B59">
        <f t="shared" si="11"/>
        <v>147</v>
      </c>
      <c r="C59">
        <f t="shared" si="11"/>
        <v>181.5</v>
      </c>
      <c r="D59">
        <f t="shared" si="11"/>
        <v>140.25</v>
      </c>
      <c r="E59">
        <f t="shared" si="4"/>
        <v>147</v>
      </c>
      <c r="F59">
        <f t="shared" si="5"/>
        <v>181.5</v>
      </c>
      <c r="G59">
        <f t="shared" si="6"/>
        <v>140.25</v>
      </c>
      <c r="H59" s="8">
        <f t="array" ref="H59">MIN(IF(B59:D59&lt;&gt;-99999999999,B59:D59))</f>
        <v>140.25</v>
      </c>
      <c r="I59">
        <f t="shared" si="1"/>
        <v>-99999999999</v>
      </c>
      <c r="K59">
        <f t="shared" si="7"/>
        <v>58505</v>
      </c>
      <c r="L59">
        <f t="shared" si="8"/>
        <v>-99999999999</v>
      </c>
    </row>
    <row r="60" spans="1:12" x14ac:dyDescent="0.2">
      <c r="A60">
        <v>54</v>
      </c>
      <c r="B60">
        <f t="shared" si="11"/>
        <v>146</v>
      </c>
      <c r="C60">
        <f t="shared" si="11"/>
        <v>180</v>
      </c>
      <c r="D60">
        <f t="shared" si="11"/>
        <v>139.5</v>
      </c>
      <c r="E60">
        <f t="shared" si="4"/>
        <v>146</v>
      </c>
      <c r="F60">
        <f t="shared" si="5"/>
        <v>180</v>
      </c>
      <c r="G60">
        <f t="shared" si="6"/>
        <v>139.5</v>
      </c>
      <c r="H60" s="8">
        <f t="array" ref="H60">MIN(IF(B60:D60&lt;&gt;-99999999999,B60:D60))</f>
        <v>139.5</v>
      </c>
      <c r="I60">
        <f t="shared" si="1"/>
        <v>-99999999999</v>
      </c>
      <c r="K60">
        <f t="shared" si="7"/>
        <v>58590</v>
      </c>
      <c r="L60">
        <f t="shared" si="8"/>
        <v>-99999999999</v>
      </c>
    </row>
    <row r="61" spans="1:12" x14ac:dyDescent="0.2">
      <c r="A61">
        <v>55</v>
      </c>
      <c r="B61">
        <f t="shared" si="11"/>
        <v>145</v>
      </c>
      <c r="C61">
        <f t="shared" si="11"/>
        <v>178.5</v>
      </c>
      <c r="D61">
        <f t="shared" si="11"/>
        <v>138.75</v>
      </c>
      <c r="E61">
        <f t="shared" si="4"/>
        <v>145</v>
      </c>
      <c r="F61">
        <f t="shared" si="5"/>
        <v>178.5</v>
      </c>
      <c r="G61">
        <f t="shared" si="6"/>
        <v>138.75</v>
      </c>
      <c r="H61" s="8">
        <f t="array" ref="H61">MIN(IF(B61:D61&lt;&gt;-99999999999,B61:D61))</f>
        <v>138.75</v>
      </c>
      <c r="I61">
        <f t="shared" si="1"/>
        <v>-99999999999</v>
      </c>
      <c r="K61">
        <f t="shared" si="7"/>
        <v>58675</v>
      </c>
      <c r="L61">
        <f t="shared" si="8"/>
        <v>-99999999999</v>
      </c>
    </row>
    <row r="62" spans="1:12" x14ac:dyDescent="0.2">
      <c r="A62">
        <v>56</v>
      </c>
      <c r="B62">
        <f t="shared" si="11"/>
        <v>144</v>
      </c>
      <c r="C62">
        <f t="shared" si="11"/>
        <v>177</v>
      </c>
      <c r="D62">
        <f t="shared" si="11"/>
        <v>138</v>
      </c>
      <c r="E62">
        <f t="shared" si="4"/>
        <v>144</v>
      </c>
      <c r="F62">
        <f t="shared" si="5"/>
        <v>177</v>
      </c>
      <c r="G62">
        <f t="shared" si="6"/>
        <v>138</v>
      </c>
      <c r="H62" s="8">
        <f t="array" ref="H62">MIN(IF(B62:D62&lt;&gt;-99999999999,B62:D62))</f>
        <v>138</v>
      </c>
      <c r="I62">
        <f t="shared" si="1"/>
        <v>-99999999999</v>
      </c>
      <c r="K62">
        <f t="shared" si="7"/>
        <v>58760</v>
      </c>
      <c r="L62">
        <f t="shared" si="8"/>
        <v>-99999999999</v>
      </c>
    </row>
    <row r="63" spans="1:12" x14ac:dyDescent="0.2">
      <c r="A63">
        <v>57</v>
      </c>
      <c r="B63">
        <f t="shared" si="11"/>
        <v>143</v>
      </c>
      <c r="C63">
        <f t="shared" si="11"/>
        <v>175.5</v>
      </c>
      <c r="D63">
        <f t="shared" si="11"/>
        <v>137.25</v>
      </c>
      <c r="E63">
        <f t="shared" si="4"/>
        <v>143</v>
      </c>
      <c r="F63">
        <f t="shared" si="5"/>
        <v>175.5</v>
      </c>
      <c r="G63">
        <f t="shared" si="6"/>
        <v>137.25</v>
      </c>
      <c r="H63" s="8">
        <f t="array" ref="H63">MIN(IF(B63:D63&lt;&gt;-99999999999,B63:D63))</f>
        <v>137.25</v>
      </c>
      <c r="I63">
        <f t="shared" si="1"/>
        <v>-99999999999</v>
      </c>
      <c r="K63">
        <f t="shared" si="7"/>
        <v>58845</v>
      </c>
      <c r="L63">
        <f t="shared" si="8"/>
        <v>-99999999999</v>
      </c>
    </row>
    <row r="64" spans="1:12" x14ac:dyDescent="0.2">
      <c r="A64">
        <v>58</v>
      </c>
      <c r="B64">
        <f t="shared" si="11"/>
        <v>142</v>
      </c>
      <c r="C64">
        <f t="shared" si="11"/>
        <v>174</v>
      </c>
      <c r="D64">
        <f t="shared" si="11"/>
        <v>136.5</v>
      </c>
      <c r="E64">
        <f t="shared" si="4"/>
        <v>142</v>
      </c>
      <c r="F64">
        <f t="shared" si="5"/>
        <v>174</v>
      </c>
      <c r="G64">
        <f t="shared" si="6"/>
        <v>136.5</v>
      </c>
      <c r="H64" s="8">
        <f t="array" ref="H64">MIN(IF(B64:D64&lt;&gt;-99999999999,B64:D64))</f>
        <v>136.5</v>
      </c>
      <c r="I64">
        <f t="shared" si="1"/>
        <v>-99999999999</v>
      </c>
      <c r="K64">
        <f t="shared" si="7"/>
        <v>58930</v>
      </c>
      <c r="L64">
        <f t="shared" si="8"/>
        <v>-99999999999</v>
      </c>
    </row>
    <row r="65" spans="1:12" x14ac:dyDescent="0.2">
      <c r="A65">
        <v>59</v>
      </c>
      <c r="B65">
        <f t="shared" si="11"/>
        <v>141</v>
      </c>
      <c r="C65">
        <f t="shared" si="11"/>
        <v>172.5</v>
      </c>
      <c r="D65">
        <f t="shared" si="11"/>
        <v>135.75</v>
      </c>
      <c r="E65">
        <f t="shared" si="4"/>
        <v>141</v>
      </c>
      <c r="F65">
        <f t="shared" si="5"/>
        <v>172.5</v>
      </c>
      <c r="G65">
        <f t="shared" si="6"/>
        <v>135.75</v>
      </c>
      <c r="H65" s="8">
        <f t="array" ref="H65">MIN(IF(B65:D65&lt;&gt;-99999999999,B65:D65))</f>
        <v>135.75</v>
      </c>
      <c r="I65">
        <f t="shared" si="1"/>
        <v>-99999999999</v>
      </c>
      <c r="K65">
        <f t="shared" si="7"/>
        <v>59015</v>
      </c>
      <c r="L65">
        <f t="shared" si="8"/>
        <v>-99999999999</v>
      </c>
    </row>
    <row r="66" spans="1:12" x14ac:dyDescent="0.2">
      <c r="A66">
        <v>60</v>
      </c>
      <c r="B66">
        <f t="shared" si="11"/>
        <v>140</v>
      </c>
      <c r="C66">
        <f t="shared" si="11"/>
        <v>171</v>
      </c>
      <c r="D66">
        <f t="shared" si="11"/>
        <v>135</v>
      </c>
      <c r="E66">
        <f t="shared" si="4"/>
        <v>140</v>
      </c>
      <c r="F66">
        <f t="shared" si="5"/>
        <v>171</v>
      </c>
      <c r="G66">
        <f t="shared" si="6"/>
        <v>135</v>
      </c>
      <c r="H66" s="8">
        <f t="array" ref="H66">MIN(IF(B66:D66&lt;&gt;-99999999999,B66:D66))</f>
        <v>135</v>
      </c>
      <c r="I66">
        <f t="shared" si="1"/>
        <v>-99999999999</v>
      </c>
      <c r="K66">
        <f t="shared" si="7"/>
        <v>59100</v>
      </c>
      <c r="L66">
        <f t="shared" si="8"/>
        <v>-99999999999</v>
      </c>
    </row>
    <row r="67" spans="1:12" x14ac:dyDescent="0.2">
      <c r="A67">
        <v>61</v>
      </c>
      <c r="B67">
        <f t="shared" ref="B67:D86" si="12">IF(B$2,B$5/B$4-B$3/B$4*$A67,-99999999999)</f>
        <v>139</v>
      </c>
      <c r="C67">
        <f t="shared" si="12"/>
        <v>169.5</v>
      </c>
      <c r="D67">
        <f t="shared" si="12"/>
        <v>134.25</v>
      </c>
      <c r="E67">
        <f t="shared" si="4"/>
        <v>139</v>
      </c>
      <c r="F67">
        <f t="shared" si="5"/>
        <v>169.5</v>
      </c>
      <c r="G67">
        <f t="shared" si="6"/>
        <v>134.25</v>
      </c>
      <c r="H67" s="8">
        <f t="array" ref="H67">MIN(IF(B67:D67&lt;&gt;-99999999999,B67:D67))</f>
        <v>134.25</v>
      </c>
      <c r="I67">
        <f t="shared" si="1"/>
        <v>-99999999999</v>
      </c>
      <c r="K67">
        <f t="shared" si="7"/>
        <v>59185</v>
      </c>
      <c r="L67">
        <f t="shared" si="8"/>
        <v>-99999999999</v>
      </c>
    </row>
    <row r="68" spans="1:12" x14ac:dyDescent="0.2">
      <c r="A68">
        <v>62</v>
      </c>
      <c r="B68">
        <f t="shared" si="12"/>
        <v>138</v>
      </c>
      <c r="C68">
        <f t="shared" si="12"/>
        <v>168</v>
      </c>
      <c r="D68">
        <f t="shared" si="12"/>
        <v>133.5</v>
      </c>
      <c r="E68">
        <f t="shared" si="4"/>
        <v>138</v>
      </c>
      <c r="F68">
        <f t="shared" si="5"/>
        <v>168</v>
      </c>
      <c r="G68">
        <f t="shared" si="6"/>
        <v>133.5</v>
      </c>
      <c r="H68" s="8">
        <f t="array" ref="H68">MIN(IF(B68:D68&lt;&gt;-99999999999,B68:D68))</f>
        <v>133.5</v>
      </c>
      <c r="I68">
        <f t="shared" si="1"/>
        <v>-99999999999</v>
      </c>
      <c r="K68">
        <f t="shared" si="7"/>
        <v>59270</v>
      </c>
      <c r="L68">
        <f t="shared" si="8"/>
        <v>-99999999999</v>
      </c>
    </row>
    <row r="69" spans="1:12" x14ac:dyDescent="0.2">
      <c r="A69">
        <v>63</v>
      </c>
      <c r="B69">
        <f t="shared" si="12"/>
        <v>137</v>
      </c>
      <c r="C69">
        <f t="shared" si="12"/>
        <v>166.5</v>
      </c>
      <c r="D69">
        <f t="shared" si="12"/>
        <v>132.75</v>
      </c>
      <c r="E69">
        <f t="shared" si="4"/>
        <v>137</v>
      </c>
      <c r="F69">
        <f t="shared" si="5"/>
        <v>166.5</v>
      </c>
      <c r="G69">
        <f t="shared" si="6"/>
        <v>132.75</v>
      </c>
      <c r="H69" s="8">
        <f t="array" ref="H69">MIN(IF(B69:D69&lt;&gt;-99999999999,B69:D69))</f>
        <v>132.75</v>
      </c>
      <c r="I69">
        <f t="shared" si="1"/>
        <v>-99999999999</v>
      </c>
      <c r="K69">
        <f t="shared" si="7"/>
        <v>59355</v>
      </c>
      <c r="L69">
        <f t="shared" si="8"/>
        <v>-99999999999</v>
      </c>
    </row>
    <row r="70" spans="1:12" x14ac:dyDescent="0.2">
      <c r="A70">
        <v>64</v>
      </c>
      <c r="B70">
        <f t="shared" si="12"/>
        <v>136</v>
      </c>
      <c r="C70">
        <f t="shared" si="12"/>
        <v>165</v>
      </c>
      <c r="D70">
        <f t="shared" si="12"/>
        <v>132</v>
      </c>
      <c r="E70">
        <f t="shared" si="4"/>
        <v>136</v>
      </c>
      <c r="F70">
        <f t="shared" si="5"/>
        <v>165</v>
      </c>
      <c r="G70">
        <f t="shared" si="6"/>
        <v>132</v>
      </c>
      <c r="H70" s="8">
        <f t="array" ref="H70">MIN(IF(B70:D70&lt;&gt;-99999999999,B70:D70))</f>
        <v>132</v>
      </c>
      <c r="I70">
        <f t="shared" ref="I70:I133" si="13">IF(I$2,I$5/I$4-I$3/I$4*$A70,-99999999999)</f>
        <v>-99999999999</v>
      </c>
      <c r="K70">
        <f t="shared" si="7"/>
        <v>59440</v>
      </c>
      <c r="L70">
        <f t="shared" si="8"/>
        <v>-99999999999</v>
      </c>
    </row>
    <row r="71" spans="1:12" x14ac:dyDescent="0.2">
      <c r="A71">
        <v>65</v>
      </c>
      <c r="B71">
        <f t="shared" si="12"/>
        <v>135</v>
      </c>
      <c r="C71">
        <f t="shared" si="12"/>
        <v>163.5</v>
      </c>
      <c r="D71">
        <f t="shared" si="12"/>
        <v>131.25</v>
      </c>
      <c r="E71">
        <f t="shared" ref="E71:E134" si="14">IF(E$2,B71,-99999999999)</f>
        <v>135</v>
      </c>
      <c r="F71">
        <f t="shared" ref="F71:F134" si="15">IF(F$2,C71,-99999999999)</f>
        <v>163.5</v>
      </c>
      <c r="G71">
        <f t="shared" ref="G71:G134" si="16">IF(G$2,D71,-99999999999)</f>
        <v>131.25</v>
      </c>
      <c r="H71" s="8">
        <f t="array" ref="H71">MIN(IF(B71:D71&lt;&gt;-99999999999,B71:D71))</f>
        <v>131.25</v>
      </c>
      <c r="I71">
        <f t="shared" si="13"/>
        <v>-99999999999</v>
      </c>
      <c r="K71">
        <f t="shared" ref="K71:K134" si="17">IF(H71&lt;0,0,A71*$I$3+H71*$I$4)</f>
        <v>59525</v>
      </c>
      <c r="L71">
        <f t="shared" ref="L71:L134" si="18">IF(L$2,IF(K71=$K$5,H71,-99999999999),-99999999999)</f>
        <v>-99999999999</v>
      </c>
    </row>
    <row r="72" spans="1:12" x14ac:dyDescent="0.2">
      <c r="A72">
        <v>66</v>
      </c>
      <c r="B72">
        <f t="shared" si="12"/>
        <v>134</v>
      </c>
      <c r="C72">
        <f t="shared" si="12"/>
        <v>162</v>
      </c>
      <c r="D72">
        <f t="shared" si="12"/>
        <v>130.5</v>
      </c>
      <c r="E72">
        <f t="shared" si="14"/>
        <v>134</v>
      </c>
      <c r="F72">
        <f t="shared" si="15"/>
        <v>162</v>
      </c>
      <c r="G72">
        <f t="shared" si="16"/>
        <v>130.5</v>
      </c>
      <c r="H72" s="8">
        <f t="array" ref="H72">MIN(IF(B72:D72&lt;&gt;-99999999999,B72:D72))</f>
        <v>130.5</v>
      </c>
      <c r="I72">
        <f t="shared" si="13"/>
        <v>-99999999999</v>
      </c>
      <c r="K72">
        <f t="shared" si="17"/>
        <v>59610</v>
      </c>
      <c r="L72">
        <f t="shared" si="18"/>
        <v>-99999999999</v>
      </c>
    </row>
    <row r="73" spans="1:12" x14ac:dyDescent="0.2">
      <c r="A73">
        <v>67</v>
      </c>
      <c r="B73">
        <f t="shared" si="12"/>
        <v>133</v>
      </c>
      <c r="C73">
        <f t="shared" si="12"/>
        <v>160.5</v>
      </c>
      <c r="D73">
        <f t="shared" si="12"/>
        <v>129.75</v>
      </c>
      <c r="E73">
        <f t="shared" si="14"/>
        <v>133</v>
      </c>
      <c r="F73">
        <f t="shared" si="15"/>
        <v>160.5</v>
      </c>
      <c r="G73">
        <f t="shared" si="16"/>
        <v>129.75</v>
      </c>
      <c r="H73" s="8">
        <f t="array" ref="H73">MIN(IF(B73:D73&lt;&gt;-99999999999,B73:D73))</f>
        <v>129.75</v>
      </c>
      <c r="I73">
        <f t="shared" si="13"/>
        <v>-99999999999</v>
      </c>
      <c r="K73">
        <f t="shared" si="17"/>
        <v>59695</v>
      </c>
      <c r="L73">
        <f t="shared" si="18"/>
        <v>-99999999999</v>
      </c>
    </row>
    <row r="74" spans="1:12" x14ac:dyDescent="0.2">
      <c r="A74">
        <v>68</v>
      </c>
      <c r="B74">
        <f t="shared" si="12"/>
        <v>132</v>
      </c>
      <c r="C74">
        <f t="shared" si="12"/>
        <v>159</v>
      </c>
      <c r="D74">
        <f t="shared" si="12"/>
        <v>129</v>
      </c>
      <c r="E74">
        <f t="shared" si="14"/>
        <v>132</v>
      </c>
      <c r="F74">
        <f t="shared" si="15"/>
        <v>159</v>
      </c>
      <c r="G74">
        <f t="shared" si="16"/>
        <v>129</v>
      </c>
      <c r="H74" s="8">
        <f t="array" ref="H74">MIN(IF(B74:D74&lt;&gt;-99999999999,B74:D74))</f>
        <v>129</v>
      </c>
      <c r="I74">
        <f t="shared" si="13"/>
        <v>-99999999999</v>
      </c>
      <c r="K74">
        <f t="shared" si="17"/>
        <v>59780</v>
      </c>
      <c r="L74">
        <f t="shared" si="18"/>
        <v>-99999999999</v>
      </c>
    </row>
    <row r="75" spans="1:12" x14ac:dyDescent="0.2">
      <c r="A75">
        <v>69</v>
      </c>
      <c r="B75">
        <f t="shared" si="12"/>
        <v>131</v>
      </c>
      <c r="C75">
        <f t="shared" si="12"/>
        <v>157.5</v>
      </c>
      <c r="D75">
        <f t="shared" si="12"/>
        <v>128.25</v>
      </c>
      <c r="E75">
        <f t="shared" si="14"/>
        <v>131</v>
      </c>
      <c r="F75">
        <f t="shared" si="15"/>
        <v>157.5</v>
      </c>
      <c r="G75">
        <f t="shared" si="16"/>
        <v>128.25</v>
      </c>
      <c r="H75" s="8">
        <f t="array" ref="H75">MIN(IF(B75:D75&lt;&gt;-99999999999,B75:D75))</f>
        <v>128.25</v>
      </c>
      <c r="I75">
        <f t="shared" si="13"/>
        <v>-99999999999</v>
      </c>
      <c r="K75">
        <f t="shared" si="17"/>
        <v>59865</v>
      </c>
      <c r="L75">
        <f t="shared" si="18"/>
        <v>-99999999999</v>
      </c>
    </row>
    <row r="76" spans="1:12" x14ac:dyDescent="0.2">
      <c r="A76">
        <v>70</v>
      </c>
      <c r="B76">
        <f t="shared" si="12"/>
        <v>130</v>
      </c>
      <c r="C76">
        <f t="shared" si="12"/>
        <v>156</v>
      </c>
      <c r="D76">
        <f t="shared" si="12"/>
        <v>127.5</v>
      </c>
      <c r="E76">
        <f t="shared" si="14"/>
        <v>130</v>
      </c>
      <c r="F76">
        <f t="shared" si="15"/>
        <v>156</v>
      </c>
      <c r="G76">
        <f t="shared" si="16"/>
        <v>127.5</v>
      </c>
      <c r="H76" s="8">
        <f t="array" ref="H76">MIN(IF(B76:D76&lt;&gt;-99999999999,B76:D76))</f>
        <v>127.5</v>
      </c>
      <c r="I76">
        <f t="shared" si="13"/>
        <v>-99999999999</v>
      </c>
      <c r="K76">
        <f t="shared" si="17"/>
        <v>59950</v>
      </c>
      <c r="L76">
        <f t="shared" si="18"/>
        <v>-99999999999</v>
      </c>
    </row>
    <row r="77" spans="1:12" x14ac:dyDescent="0.2">
      <c r="A77">
        <v>71</v>
      </c>
      <c r="B77">
        <f t="shared" si="12"/>
        <v>129</v>
      </c>
      <c r="C77">
        <f t="shared" si="12"/>
        <v>154.5</v>
      </c>
      <c r="D77">
        <f t="shared" si="12"/>
        <v>126.75</v>
      </c>
      <c r="E77">
        <f t="shared" si="14"/>
        <v>129</v>
      </c>
      <c r="F77">
        <f t="shared" si="15"/>
        <v>154.5</v>
      </c>
      <c r="G77">
        <f t="shared" si="16"/>
        <v>126.75</v>
      </c>
      <c r="H77" s="8">
        <f t="array" ref="H77">MIN(IF(B77:D77&lt;&gt;-99999999999,B77:D77))</f>
        <v>126.75</v>
      </c>
      <c r="I77">
        <f t="shared" si="13"/>
        <v>-99999999999</v>
      </c>
      <c r="K77">
        <f t="shared" si="17"/>
        <v>60035</v>
      </c>
      <c r="L77">
        <f t="shared" si="18"/>
        <v>-99999999999</v>
      </c>
    </row>
    <row r="78" spans="1:12" x14ac:dyDescent="0.2">
      <c r="A78">
        <v>72</v>
      </c>
      <c r="B78">
        <f t="shared" si="12"/>
        <v>128</v>
      </c>
      <c r="C78">
        <f t="shared" si="12"/>
        <v>153</v>
      </c>
      <c r="D78">
        <f t="shared" si="12"/>
        <v>126</v>
      </c>
      <c r="E78">
        <f t="shared" si="14"/>
        <v>128</v>
      </c>
      <c r="F78">
        <f t="shared" si="15"/>
        <v>153</v>
      </c>
      <c r="G78">
        <f t="shared" si="16"/>
        <v>126</v>
      </c>
      <c r="H78" s="8">
        <f t="array" ref="H78">MIN(IF(B78:D78&lt;&gt;-99999999999,B78:D78))</f>
        <v>126</v>
      </c>
      <c r="I78">
        <f t="shared" si="13"/>
        <v>-99999999999</v>
      </c>
      <c r="K78">
        <f t="shared" si="17"/>
        <v>60120</v>
      </c>
      <c r="L78">
        <f t="shared" si="18"/>
        <v>-99999999999</v>
      </c>
    </row>
    <row r="79" spans="1:12" x14ac:dyDescent="0.2">
      <c r="A79">
        <v>73</v>
      </c>
      <c r="B79">
        <f t="shared" si="12"/>
        <v>127</v>
      </c>
      <c r="C79">
        <f t="shared" si="12"/>
        <v>151.5</v>
      </c>
      <c r="D79">
        <f t="shared" si="12"/>
        <v>125.25</v>
      </c>
      <c r="E79">
        <f t="shared" si="14"/>
        <v>127</v>
      </c>
      <c r="F79">
        <f t="shared" si="15"/>
        <v>151.5</v>
      </c>
      <c r="G79">
        <f t="shared" si="16"/>
        <v>125.25</v>
      </c>
      <c r="H79" s="8">
        <f t="array" ref="H79">MIN(IF(B79:D79&lt;&gt;-99999999999,B79:D79))</f>
        <v>125.25</v>
      </c>
      <c r="I79">
        <f t="shared" si="13"/>
        <v>-99999999999</v>
      </c>
      <c r="K79">
        <f t="shared" si="17"/>
        <v>60205</v>
      </c>
      <c r="L79">
        <f t="shared" si="18"/>
        <v>-99999999999</v>
      </c>
    </row>
    <row r="80" spans="1:12" x14ac:dyDescent="0.2">
      <c r="A80">
        <v>74</v>
      </c>
      <c r="B80">
        <f t="shared" si="12"/>
        <v>126</v>
      </c>
      <c r="C80">
        <f t="shared" si="12"/>
        <v>150</v>
      </c>
      <c r="D80">
        <f t="shared" si="12"/>
        <v>124.5</v>
      </c>
      <c r="E80">
        <f t="shared" si="14"/>
        <v>126</v>
      </c>
      <c r="F80">
        <f t="shared" si="15"/>
        <v>150</v>
      </c>
      <c r="G80">
        <f t="shared" si="16"/>
        <v>124.5</v>
      </c>
      <c r="H80" s="8">
        <f t="array" ref="H80">MIN(IF(B80:D80&lt;&gt;-99999999999,B80:D80))</f>
        <v>124.5</v>
      </c>
      <c r="I80">
        <f t="shared" si="13"/>
        <v>-99999999999</v>
      </c>
      <c r="K80">
        <f t="shared" si="17"/>
        <v>60290</v>
      </c>
      <c r="L80">
        <f t="shared" si="18"/>
        <v>-99999999999</v>
      </c>
    </row>
    <row r="81" spans="1:12" x14ac:dyDescent="0.2">
      <c r="A81">
        <v>75</v>
      </c>
      <c r="B81">
        <f t="shared" si="12"/>
        <v>125</v>
      </c>
      <c r="C81">
        <f t="shared" si="12"/>
        <v>148.5</v>
      </c>
      <c r="D81">
        <f t="shared" si="12"/>
        <v>123.75</v>
      </c>
      <c r="E81">
        <f t="shared" si="14"/>
        <v>125</v>
      </c>
      <c r="F81">
        <f t="shared" si="15"/>
        <v>148.5</v>
      </c>
      <c r="G81">
        <f t="shared" si="16"/>
        <v>123.75</v>
      </c>
      <c r="H81" s="8">
        <f t="array" ref="H81">MIN(IF(B81:D81&lt;&gt;-99999999999,B81:D81))</f>
        <v>123.75</v>
      </c>
      <c r="I81">
        <f t="shared" si="13"/>
        <v>-99999999999</v>
      </c>
      <c r="K81">
        <f t="shared" si="17"/>
        <v>60375</v>
      </c>
      <c r="L81">
        <f t="shared" si="18"/>
        <v>-99999999999</v>
      </c>
    </row>
    <row r="82" spans="1:12" x14ac:dyDescent="0.2">
      <c r="A82">
        <v>76</v>
      </c>
      <c r="B82">
        <f t="shared" si="12"/>
        <v>124</v>
      </c>
      <c r="C82">
        <f t="shared" si="12"/>
        <v>147</v>
      </c>
      <c r="D82">
        <f t="shared" si="12"/>
        <v>123</v>
      </c>
      <c r="E82">
        <f t="shared" si="14"/>
        <v>124</v>
      </c>
      <c r="F82">
        <f t="shared" si="15"/>
        <v>147</v>
      </c>
      <c r="G82">
        <f t="shared" si="16"/>
        <v>123</v>
      </c>
      <c r="H82" s="8">
        <f t="array" ref="H82">MIN(IF(B82:D82&lt;&gt;-99999999999,B82:D82))</f>
        <v>123</v>
      </c>
      <c r="I82">
        <f t="shared" si="13"/>
        <v>-99999999999</v>
      </c>
      <c r="K82">
        <f t="shared" si="17"/>
        <v>60460</v>
      </c>
      <c r="L82">
        <f t="shared" si="18"/>
        <v>-99999999999</v>
      </c>
    </row>
    <row r="83" spans="1:12" x14ac:dyDescent="0.2">
      <c r="A83">
        <v>77</v>
      </c>
      <c r="B83">
        <f t="shared" si="12"/>
        <v>123</v>
      </c>
      <c r="C83">
        <f t="shared" si="12"/>
        <v>145.5</v>
      </c>
      <c r="D83">
        <f t="shared" si="12"/>
        <v>122.25</v>
      </c>
      <c r="E83">
        <f t="shared" si="14"/>
        <v>123</v>
      </c>
      <c r="F83">
        <f t="shared" si="15"/>
        <v>145.5</v>
      </c>
      <c r="G83">
        <f t="shared" si="16"/>
        <v>122.25</v>
      </c>
      <c r="H83" s="8">
        <f t="array" ref="H83">MIN(IF(B83:D83&lt;&gt;-99999999999,B83:D83))</f>
        <v>122.25</v>
      </c>
      <c r="I83">
        <f t="shared" si="13"/>
        <v>-99999999999</v>
      </c>
      <c r="K83">
        <f t="shared" si="17"/>
        <v>60545</v>
      </c>
      <c r="L83">
        <f t="shared" si="18"/>
        <v>-99999999999</v>
      </c>
    </row>
    <row r="84" spans="1:12" x14ac:dyDescent="0.2">
      <c r="A84">
        <v>78</v>
      </c>
      <c r="B84">
        <f t="shared" si="12"/>
        <v>122</v>
      </c>
      <c r="C84">
        <f t="shared" si="12"/>
        <v>144</v>
      </c>
      <c r="D84">
        <f t="shared" si="12"/>
        <v>121.5</v>
      </c>
      <c r="E84">
        <f t="shared" si="14"/>
        <v>122</v>
      </c>
      <c r="F84">
        <f t="shared" si="15"/>
        <v>144</v>
      </c>
      <c r="G84">
        <f t="shared" si="16"/>
        <v>121.5</v>
      </c>
      <c r="H84" s="8">
        <f t="array" ref="H84">MIN(IF(B84:D84&lt;&gt;-99999999999,B84:D84))</f>
        <v>121.5</v>
      </c>
      <c r="I84">
        <f t="shared" si="13"/>
        <v>-99999999999</v>
      </c>
      <c r="K84">
        <f t="shared" si="17"/>
        <v>60630</v>
      </c>
      <c r="L84">
        <f t="shared" si="18"/>
        <v>-99999999999</v>
      </c>
    </row>
    <row r="85" spans="1:12" x14ac:dyDescent="0.2">
      <c r="A85">
        <v>79</v>
      </c>
      <c r="B85">
        <f t="shared" si="12"/>
        <v>121</v>
      </c>
      <c r="C85">
        <f t="shared" si="12"/>
        <v>142.5</v>
      </c>
      <c r="D85">
        <f t="shared" si="12"/>
        <v>120.75</v>
      </c>
      <c r="E85">
        <f t="shared" si="14"/>
        <v>121</v>
      </c>
      <c r="F85">
        <f t="shared" si="15"/>
        <v>142.5</v>
      </c>
      <c r="G85">
        <f t="shared" si="16"/>
        <v>120.75</v>
      </c>
      <c r="H85" s="8">
        <f t="array" ref="H85">MIN(IF(B85:D85&lt;&gt;-99999999999,B85:D85))</f>
        <v>120.75</v>
      </c>
      <c r="I85">
        <f t="shared" si="13"/>
        <v>-99999999999</v>
      </c>
      <c r="K85">
        <f t="shared" si="17"/>
        <v>60715</v>
      </c>
      <c r="L85">
        <f t="shared" si="18"/>
        <v>-99999999999</v>
      </c>
    </row>
    <row r="86" spans="1:12" x14ac:dyDescent="0.2">
      <c r="A86">
        <v>80</v>
      </c>
      <c r="B86">
        <f t="shared" si="12"/>
        <v>120</v>
      </c>
      <c r="C86">
        <f t="shared" si="12"/>
        <v>141</v>
      </c>
      <c r="D86">
        <f t="shared" si="12"/>
        <v>120</v>
      </c>
      <c r="E86">
        <f t="shared" si="14"/>
        <v>120</v>
      </c>
      <c r="F86">
        <f t="shared" si="15"/>
        <v>141</v>
      </c>
      <c r="G86">
        <f t="shared" si="16"/>
        <v>120</v>
      </c>
      <c r="H86" s="8">
        <f t="array" ref="H86">MIN(IF(B86:D86&lt;&gt;-99999999999,B86:D86))</f>
        <v>120</v>
      </c>
      <c r="I86">
        <f t="shared" si="13"/>
        <v>-99999999999</v>
      </c>
      <c r="K86">
        <f t="shared" si="17"/>
        <v>60800</v>
      </c>
      <c r="L86">
        <f t="shared" si="18"/>
        <v>-99999999999</v>
      </c>
    </row>
    <row r="87" spans="1:12" x14ac:dyDescent="0.2">
      <c r="A87">
        <v>81</v>
      </c>
      <c r="B87">
        <f t="shared" ref="B87:D106" si="19">IF(B$2,B$5/B$4-B$3/B$4*$A87,-99999999999)</f>
        <v>119</v>
      </c>
      <c r="C87">
        <f t="shared" si="19"/>
        <v>139.5</v>
      </c>
      <c r="D87">
        <f t="shared" si="19"/>
        <v>119.25</v>
      </c>
      <c r="E87">
        <f t="shared" si="14"/>
        <v>119</v>
      </c>
      <c r="F87">
        <f t="shared" si="15"/>
        <v>139.5</v>
      </c>
      <c r="G87">
        <f t="shared" si="16"/>
        <v>119.25</v>
      </c>
      <c r="H87" s="8">
        <f t="array" ref="H87">MIN(IF(B87:D87&lt;&gt;-99999999999,B87:D87))</f>
        <v>119</v>
      </c>
      <c r="I87">
        <f t="shared" si="13"/>
        <v>-99999999999</v>
      </c>
      <c r="K87">
        <f t="shared" si="17"/>
        <v>60810</v>
      </c>
      <c r="L87">
        <f t="shared" si="18"/>
        <v>-99999999999</v>
      </c>
    </row>
    <row r="88" spans="1:12" x14ac:dyDescent="0.2">
      <c r="A88">
        <v>82</v>
      </c>
      <c r="B88">
        <f t="shared" si="19"/>
        <v>118</v>
      </c>
      <c r="C88">
        <f t="shared" si="19"/>
        <v>138</v>
      </c>
      <c r="D88">
        <f t="shared" si="19"/>
        <v>118.5</v>
      </c>
      <c r="E88">
        <f t="shared" si="14"/>
        <v>118</v>
      </c>
      <c r="F88">
        <f t="shared" si="15"/>
        <v>138</v>
      </c>
      <c r="G88">
        <f t="shared" si="16"/>
        <v>118.5</v>
      </c>
      <c r="H88" s="8">
        <f t="array" ref="H88">MIN(IF(B88:D88&lt;&gt;-99999999999,B88:D88))</f>
        <v>118</v>
      </c>
      <c r="I88">
        <f t="shared" si="13"/>
        <v>-99999999999</v>
      </c>
      <c r="K88">
        <f t="shared" si="17"/>
        <v>60820</v>
      </c>
      <c r="L88">
        <f t="shared" si="18"/>
        <v>-99999999999</v>
      </c>
    </row>
    <row r="89" spans="1:12" x14ac:dyDescent="0.2">
      <c r="A89">
        <v>83</v>
      </c>
      <c r="B89">
        <f t="shared" si="19"/>
        <v>117</v>
      </c>
      <c r="C89">
        <f t="shared" si="19"/>
        <v>136.5</v>
      </c>
      <c r="D89">
        <f t="shared" si="19"/>
        <v>117.75</v>
      </c>
      <c r="E89">
        <f t="shared" si="14"/>
        <v>117</v>
      </c>
      <c r="F89">
        <f t="shared" si="15"/>
        <v>136.5</v>
      </c>
      <c r="G89">
        <f t="shared" si="16"/>
        <v>117.75</v>
      </c>
      <c r="H89" s="8">
        <f t="array" ref="H89">MIN(IF(B89:D89&lt;&gt;-99999999999,B89:D89))</f>
        <v>117</v>
      </c>
      <c r="I89">
        <f t="shared" si="13"/>
        <v>-99999999999</v>
      </c>
      <c r="K89">
        <f t="shared" si="17"/>
        <v>60830</v>
      </c>
      <c r="L89">
        <f t="shared" si="18"/>
        <v>-99999999999</v>
      </c>
    </row>
    <row r="90" spans="1:12" x14ac:dyDescent="0.2">
      <c r="A90">
        <v>84</v>
      </c>
      <c r="B90">
        <f t="shared" si="19"/>
        <v>116</v>
      </c>
      <c r="C90">
        <f t="shared" si="19"/>
        <v>135</v>
      </c>
      <c r="D90">
        <f t="shared" si="19"/>
        <v>117</v>
      </c>
      <c r="E90">
        <f t="shared" si="14"/>
        <v>116</v>
      </c>
      <c r="F90">
        <f t="shared" si="15"/>
        <v>135</v>
      </c>
      <c r="G90">
        <f t="shared" si="16"/>
        <v>117</v>
      </c>
      <c r="H90" s="8">
        <f t="array" ref="H90">MIN(IF(B90:D90&lt;&gt;-99999999999,B90:D90))</f>
        <v>116</v>
      </c>
      <c r="I90">
        <f t="shared" si="13"/>
        <v>-99999999999</v>
      </c>
      <c r="K90">
        <f t="shared" si="17"/>
        <v>60840</v>
      </c>
      <c r="L90">
        <f t="shared" si="18"/>
        <v>-99999999999</v>
      </c>
    </row>
    <row r="91" spans="1:12" x14ac:dyDescent="0.2">
      <c r="A91">
        <v>85</v>
      </c>
      <c r="B91">
        <f t="shared" si="19"/>
        <v>115</v>
      </c>
      <c r="C91">
        <f t="shared" si="19"/>
        <v>133.5</v>
      </c>
      <c r="D91">
        <f t="shared" si="19"/>
        <v>116.25</v>
      </c>
      <c r="E91">
        <f t="shared" si="14"/>
        <v>115</v>
      </c>
      <c r="F91">
        <f t="shared" si="15"/>
        <v>133.5</v>
      </c>
      <c r="G91">
        <f t="shared" si="16"/>
        <v>116.25</v>
      </c>
      <c r="H91" s="8">
        <f t="array" ref="H91">MIN(IF(B91:D91&lt;&gt;-99999999999,B91:D91))</f>
        <v>115</v>
      </c>
      <c r="I91">
        <f t="shared" si="13"/>
        <v>-99999999999</v>
      </c>
      <c r="K91">
        <f t="shared" si="17"/>
        <v>60850</v>
      </c>
      <c r="L91">
        <f t="shared" si="18"/>
        <v>-99999999999</v>
      </c>
    </row>
    <row r="92" spans="1:12" x14ac:dyDescent="0.2">
      <c r="A92">
        <v>86</v>
      </c>
      <c r="B92">
        <f t="shared" si="19"/>
        <v>114</v>
      </c>
      <c r="C92">
        <f t="shared" si="19"/>
        <v>132</v>
      </c>
      <c r="D92">
        <f t="shared" si="19"/>
        <v>115.5</v>
      </c>
      <c r="E92">
        <f t="shared" si="14"/>
        <v>114</v>
      </c>
      <c r="F92">
        <f t="shared" si="15"/>
        <v>132</v>
      </c>
      <c r="G92">
        <f t="shared" si="16"/>
        <v>115.5</v>
      </c>
      <c r="H92" s="8">
        <f t="array" ref="H92">MIN(IF(B92:D92&lt;&gt;-99999999999,B92:D92))</f>
        <v>114</v>
      </c>
      <c r="I92">
        <f t="shared" si="13"/>
        <v>-99999999999</v>
      </c>
      <c r="K92">
        <f t="shared" si="17"/>
        <v>60860</v>
      </c>
      <c r="L92">
        <f t="shared" si="18"/>
        <v>-99999999999</v>
      </c>
    </row>
    <row r="93" spans="1:12" x14ac:dyDescent="0.2">
      <c r="A93">
        <v>87</v>
      </c>
      <c r="B93">
        <f t="shared" si="19"/>
        <v>113</v>
      </c>
      <c r="C93">
        <f t="shared" si="19"/>
        <v>130.5</v>
      </c>
      <c r="D93">
        <f t="shared" si="19"/>
        <v>114.75</v>
      </c>
      <c r="E93">
        <f t="shared" si="14"/>
        <v>113</v>
      </c>
      <c r="F93">
        <f t="shared" si="15"/>
        <v>130.5</v>
      </c>
      <c r="G93">
        <f t="shared" si="16"/>
        <v>114.75</v>
      </c>
      <c r="H93" s="8">
        <f t="array" ref="H93">MIN(IF(B93:D93&lt;&gt;-99999999999,B93:D93))</f>
        <v>113</v>
      </c>
      <c r="I93">
        <f t="shared" si="13"/>
        <v>-99999999999</v>
      </c>
      <c r="K93">
        <f t="shared" si="17"/>
        <v>60870</v>
      </c>
      <c r="L93">
        <f t="shared" si="18"/>
        <v>-99999999999</v>
      </c>
    </row>
    <row r="94" spans="1:12" x14ac:dyDescent="0.2">
      <c r="A94">
        <v>88</v>
      </c>
      <c r="B94">
        <f t="shared" si="19"/>
        <v>112</v>
      </c>
      <c r="C94">
        <f t="shared" si="19"/>
        <v>129</v>
      </c>
      <c r="D94">
        <f t="shared" si="19"/>
        <v>114</v>
      </c>
      <c r="E94">
        <f t="shared" si="14"/>
        <v>112</v>
      </c>
      <c r="F94">
        <f t="shared" si="15"/>
        <v>129</v>
      </c>
      <c r="G94">
        <f t="shared" si="16"/>
        <v>114</v>
      </c>
      <c r="H94" s="8">
        <f t="array" ref="H94">MIN(IF(B94:D94&lt;&gt;-99999999999,B94:D94))</f>
        <v>112</v>
      </c>
      <c r="I94">
        <f t="shared" si="13"/>
        <v>-99999999999</v>
      </c>
      <c r="K94">
        <f t="shared" si="17"/>
        <v>60880</v>
      </c>
      <c r="L94">
        <f t="shared" si="18"/>
        <v>-99999999999</v>
      </c>
    </row>
    <row r="95" spans="1:12" x14ac:dyDescent="0.2">
      <c r="A95">
        <v>89</v>
      </c>
      <c r="B95">
        <f t="shared" si="19"/>
        <v>111</v>
      </c>
      <c r="C95">
        <f t="shared" si="19"/>
        <v>127.5</v>
      </c>
      <c r="D95">
        <f t="shared" si="19"/>
        <v>113.25</v>
      </c>
      <c r="E95">
        <f t="shared" si="14"/>
        <v>111</v>
      </c>
      <c r="F95">
        <f t="shared" si="15"/>
        <v>127.5</v>
      </c>
      <c r="G95">
        <f t="shared" si="16"/>
        <v>113.25</v>
      </c>
      <c r="H95" s="8">
        <f t="array" ref="H95">MIN(IF(B95:D95&lt;&gt;-99999999999,B95:D95))</f>
        <v>111</v>
      </c>
      <c r="I95">
        <f t="shared" si="13"/>
        <v>-99999999999</v>
      </c>
      <c r="K95">
        <f t="shared" si="17"/>
        <v>60890</v>
      </c>
      <c r="L95">
        <f t="shared" si="18"/>
        <v>-99999999999</v>
      </c>
    </row>
    <row r="96" spans="1:12" x14ac:dyDescent="0.2">
      <c r="A96">
        <v>90</v>
      </c>
      <c r="B96">
        <f t="shared" si="19"/>
        <v>110</v>
      </c>
      <c r="C96">
        <f t="shared" si="19"/>
        <v>126</v>
      </c>
      <c r="D96">
        <f t="shared" si="19"/>
        <v>112.5</v>
      </c>
      <c r="E96">
        <f t="shared" si="14"/>
        <v>110</v>
      </c>
      <c r="F96">
        <f t="shared" si="15"/>
        <v>126</v>
      </c>
      <c r="G96">
        <f t="shared" si="16"/>
        <v>112.5</v>
      </c>
      <c r="H96" s="8">
        <f t="array" ref="H96">MIN(IF(B96:D96&lt;&gt;-99999999999,B96:D96))</f>
        <v>110</v>
      </c>
      <c r="I96">
        <f t="shared" si="13"/>
        <v>-99999999999</v>
      </c>
      <c r="K96">
        <f t="shared" si="17"/>
        <v>60900</v>
      </c>
      <c r="L96">
        <f t="shared" si="18"/>
        <v>-99999999999</v>
      </c>
    </row>
    <row r="97" spans="1:12" x14ac:dyDescent="0.2">
      <c r="A97">
        <v>91</v>
      </c>
      <c r="B97">
        <f t="shared" si="19"/>
        <v>109</v>
      </c>
      <c r="C97">
        <f t="shared" si="19"/>
        <v>124.5</v>
      </c>
      <c r="D97">
        <f t="shared" si="19"/>
        <v>111.75</v>
      </c>
      <c r="E97">
        <f t="shared" si="14"/>
        <v>109</v>
      </c>
      <c r="F97">
        <f t="shared" si="15"/>
        <v>124.5</v>
      </c>
      <c r="G97">
        <f t="shared" si="16"/>
        <v>111.75</v>
      </c>
      <c r="H97" s="8">
        <f t="array" ref="H97">MIN(IF(B97:D97&lt;&gt;-99999999999,B97:D97))</f>
        <v>109</v>
      </c>
      <c r="I97">
        <f t="shared" si="13"/>
        <v>-99999999999</v>
      </c>
      <c r="K97">
        <f t="shared" si="17"/>
        <v>60910</v>
      </c>
      <c r="L97">
        <f t="shared" si="18"/>
        <v>-99999999999</v>
      </c>
    </row>
    <row r="98" spans="1:12" x14ac:dyDescent="0.2">
      <c r="A98">
        <v>92</v>
      </c>
      <c r="B98">
        <f t="shared" si="19"/>
        <v>108</v>
      </c>
      <c r="C98">
        <f t="shared" si="19"/>
        <v>123</v>
      </c>
      <c r="D98">
        <f t="shared" si="19"/>
        <v>111</v>
      </c>
      <c r="E98">
        <f t="shared" si="14"/>
        <v>108</v>
      </c>
      <c r="F98">
        <f t="shared" si="15"/>
        <v>123</v>
      </c>
      <c r="G98">
        <f t="shared" si="16"/>
        <v>111</v>
      </c>
      <c r="H98" s="8">
        <f t="array" ref="H98">MIN(IF(B98:D98&lt;&gt;-99999999999,B98:D98))</f>
        <v>108</v>
      </c>
      <c r="I98">
        <f t="shared" si="13"/>
        <v>-99999999999</v>
      </c>
      <c r="K98">
        <f t="shared" si="17"/>
        <v>60920</v>
      </c>
      <c r="L98">
        <f t="shared" si="18"/>
        <v>-99999999999</v>
      </c>
    </row>
    <row r="99" spans="1:12" x14ac:dyDescent="0.2">
      <c r="A99">
        <v>93</v>
      </c>
      <c r="B99">
        <f t="shared" si="19"/>
        <v>107</v>
      </c>
      <c r="C99">
        <f t="shared" si="19"/>
        <v>121.5</v>
      </c>
      <c r="D99">
        <f t="shared" si="19"/>
        <v>110.25</v>
      </c>
      <c r="E99">
        <f t="shared" si="14"/>
        <v>107</v>
      </c>
      <c r="F99">
        <f t="shared" si="15"/>
        <v>121.5</v>
      </c>
      <c r="G99">
        <f t="shared" si="16"/>
        <v>110.25</v>
      </c>
      <c r="H99" s="8">
        <f t="array" ref="H99">MIN(IF(B99:D99&lt;&gt;-99999999999,B99:D99))</f>
        <v>107</v>
      </c>
      <c r="I99">
        <f t="shared" si="13"/>
        <v>-99999999999</v>
      </c>
      <c r="K99">
        <f t="shared" si="17"/>
        <v>60930</v>
      </c>
      <c r="L99">
        <f t="shared" si="18"/>
        <v>-99999999999</v>
      </c>
    </row>
    <row r="100" spans="1:12" x14ac:dyDescent="0.2">
      <c r="A100">
        <v>94</v>
      </c>
      <c r="B100">
        <f t="shared" si="19"/>
        <v>106</v>
      </c>
      <c r="C100">
        <f t="shared" si="19"/>
        <v>120</v>
      </c>
      <c r="D100">
        <f t="shared" si="19"/>
        <v>109.5</v>
      </c>
      <c r="E100">
        <f t="shared" si="14"/>
        <v>106</v>
      </c>
      <c r="F100">
        <f t="shared" si="15"/>
        <v>120</v>
      </c>
      <c r="G100">
        <f t="shared" si="16"/>
        <v>109.5</v>
      </c>
      <c r="H100" s="8">
        <f t="array" ref="H100">MIN(IF(B100:D100&lt;&gt;-99999999999,B100:D100))</f>
        <v>106</v>
      </c>
      <c r="I100">
        <f t="shared" si="13"/>
        <v>-99999999999</v>
      </c>
      <c r="K100">
        <f t="shared" si="17"/>
        <v>60940</v>
      </c>
      <c r="L100">
        <f t="shared" si="18"/>
        <v>-99999999999</v>
      </c>
    </row>
    <row r="101" spans="1:12" x14ac:dyDescent="0.2">
      <c r="A101">
        <v>95</v>
      </c>
      <c r="B101">
        <f t="shared" si="19"/>
        <v>105</v>
      </c>
      <c r="C101">
        <f t="shared" si="19"/>
        <v>118.5</v>
      </c>
      <c r="D101">
        <f t="shared" si="19"/>
        <v>108.75</v>
      </c>
      <c r="E101">
        <f t="shared" si="14"/>
        <v>105</v>
      </c>
      <c r="F101">
        <f t="shared" si="15"/>
        <v>118.5</v>
      </c>
      <c r="G101">
        <f t="shared" si="16"/>
        <v>108.75</v>
      </c>
      <c r="H101" s="8">
        <f t="array" ref="H101">MIN(IF(B101:D101&lt;&gt;-99999999999,B101:D101))</f>
        <v>105</v>
      </c>
      <c r="I101">
        <f t="shared" si="13"/>
        <v>-99999999999</v>
      </c>
      <c r="K101">
        <f t="shared" si="17"/>
        <v>60950</v>
      </c>
      <c r="L101">
        <f t="shared" si="18"/>
        <v>-99999999999</v>
      </c>
    </row>
    <row r="102" spans="1:12" x14ac:dyDescent="0.2">
      <c r="A102">
        <v>96</v>
      </c>
      <c r="B102">
        <f t="shared" si="19"/>
        <v>104</v>
      </c>
      <c r="C102">
        <f t="shared" si="19"/>
        <v>117</v>
      </c>
      <c r="D102">
        <f t="shared" si="19"/>
        <v>108</v>
      </c>
      <c r="E102">
        <f t="shared" si="14"/>
        <v>104</v>
      </c>
      <c r="F102">
        <f t="shared" si="15"/>
        <v>117</v>
      </c>
      <c r="G102">
        <f t="shared" si="16"/>
        <v>108</v>
      </c>
      <c r="H102" s="8">
        <f t="array" ref="H102">MIN(IF(B102:D102&lt;&gt;-99999999999,B102:D102))</f>
        <v>104</v>
      </c>
      <c r="I102">
        <f t="shared" si="13"/>
        <v>-99999999999</v>
      </c>
      <c r="K102">
        <f t="shared" si="17"/>
        <v>60960</v>
      </c>
      <c r="L102">
        <f t="shared" si="18"/>
        <v>-99999999999</v>
      </c>
    </row>
    <row r="103" spans="1:12" x14ac:dyDescent="0.2">
      <c r="A103">
        <v>97</v>
      </c>
      <c r="B103">
        <f t="shared" si="19"/>
        <v>103</v>
      </c>
      <c r="C103">
        <f t="shared" si="19"/>
        <v>115.5</v>
      </c>
      <c r="D103">
        <f t="shared" si="19"/>
        <v>107.25</v>
      </c>
      <c r="E103">
        <f t="shared" si="14"/>
        <v>103</v>
      </c>
      <c r="F103">
        <f t="shared" si="15"/>
        <v>115.5</v>
      </c>
      <c r="G103">
        <f t="shared" si="16"/>
        <v>107.25</v>
      </c>
      <c r="H103" s="8">
        <f t="array" ref="H103">MIN(IF(B103:D103&lt;&gt;-99999999999,B103:D103))</f>
        <v>103</v>
      </c>
      <c r="I103">
        <f t="shared" si="13"/>
        <v>-99999999999</v>
      </c>
      <c r="K103">
        <f t="shared" si="17"/>
        <v>60970</v>
      </c>
      <c r="L103">
        <f t="shared" si="18"/>
        <v>-99999999999</v>
      </c>
    </row>
    <row r="104" spans="1:12" x14ac:dyDescent="0.2">
      <c r="A104">
        <v>98</v>
      </c>
      <c r="B104">
        <f t="shared" si="19"/>
        <v>102</v>
      </c>
      <c r="C104">
        <f t="shared" si="19"/>
        <v>114</v>
      </c>
      <c r="D104">
        <f t="shared" si="19"/>
        <v>106.5</v>
      </c>
      <c r="E104">
        <f t="shared" si="14"/>
        <v>102</v>
      </c>
      <c r="F104">
        <f t="shared" si="15"/>
        <v>114</v>
      </c>
      <c r="G104">
        <f t="shared" si="16"/>
        <v>106.5</v>
      </c>
      <c r="H104" s="8">
        <f t="array" ref="H104">MIN(IF(B104:D104&lt;&gt;-99999999999,B104:D104))</f>
        <v>102</v>
      </c>
      <c r="I104">
        <f t="shared" si="13"/>
        <v>-99999999999</v>
      </c>
      <c r="K104">
        <f t="shared" si="17"/>
        <v>60980</v>
      </c>
      <c r="L104">
        <f t="shared" si="18"/>
        <v>-99999999999</v>
      </c>
    </row>
    <row r="105" spans="1:12" x14ac:dyDescent="0.2">
      <c r="A105">
        <v>99</v>
      </c>
      <c r="B105">
        <f t="shared" si="19"/>
        <v>101</v>
      </c>
      <c r="C105">
        <f t="shared" si="19"/>
        <v>112.5</v>
      </c>
      <c r="D105">
        <f t="shared" si="19"/>
        <v>105.75</v>
      </c>
      <c r="E105">
        <f t="shared" si="14"/>
        <v>101</v>
      </c>
      <c r="F105">
        <f t="shared" si="15"/>
        <v>112.5</v>
      </c>
      <c r="G105">
        <f t="shared" si="16"/>
        <v>105.75</v>
      </c>
      <c r="H105" s="8">
        <f t="array" ref="H105">MIN(IF(B105:D105&lt;&gt;-99999999999,B105:D105))</f>
        <v>101</v>
      </c>
      <c r="I105">
        <f t="shared" si="13"/>
        <v>-99999999999</v>
      </c>
      <c r="K105">
        <f t="shared" si="17"/>
        <v>60990</v>
      </c>
      <c r="L105">
        <f t="shared" si="18"/>
        <v>-99999999999</v>
      </c>
    </row>
    <row r="106" spans="1:12" x14ac:dyDescent="0.2">
      <c r="A106">
        <v>100</v>
      </c>
      <c r="B106">
        <f t="shared" si="19"/>
        <v>100</v>
      </c>
      <c r="C106">
        <f t="shared" si="19"/>
        <v>111</v>
      </c>
      <c r="D106">
        <f t="shared" si="19"/>
        <v>105</v>
      </c>
      <c r="E106">
        <f t="shared" si="14"/>
        <v>100</v>
      </c>
      <c r="F106">
        <f t="shared" si="15"/>
        <v>111</v>
      </c>
      <c r="G106">
        <f t="shared" si="16"/>
        <v>105</v>
      </c>
      <c r="H106" s="8">
        <f t="array" ref="H106">MIN(IF(B106:D106&lt;&gt;-99999999999,B106:D106))</f>
        <v>100</v>
      </c>
      <c r="I106">
        <f t="shared" si="13"/>
        <v>-99999999999</v>
      </c>
      <c r="K106">
        <f t="shared" si="17"/>
        <v>61000</v>
      </c>
      <c r="L106">
        <f t="shared" si="18"/>
        <v>-99999999999</v>
      </c>
    </row>
    <row r="107" spans="1:12" x14ac:dyDescent="0.2">
      <c r="A107">
        <v>101</v>
      </c>
      <c r="B107">
        <f t="shared" ref="B107:D126" si="20">IF(B$2,B$5/B$4-B$3/B$4*$A107,-99999999999)</f>
        <v>99</v>
      </c>
      <c r="C107">
        <f t="shared" si="20"/>
        <v>109.5</v>
      </c>
      <c r="D107">
        <f t="shared" si="20"/>
        <v>104.25</v>
      </c>
      <c r="E107">
        <f t="shared" si="14"/>
        <v>99</v>
      </c>
      <c r="F107">
        <f t="shared" si="15"/>
        <v>109.5</v>
      </c>
      <c r="G107">
        <f t="shared" si="16"/>
        <v>104.25</v>
      </c>
      <c r="H107" s="8">
        <f t="array" ref="H107">MIN(IF(B107:D107&lt;&gt;-99999999999,B107:D107))</f>
        <v>99</v>
      </c>
      <c r="I107">
        <f t="shared" si="13"/>
        <v>-99999999999</v>
      </c>
      <c r="K107">
        <f t="shared" si="17"/>
        <v>61010</v>
      </c>
      <c r="L107">
        <f t="shared" si="18"/>
        <v>-99999999999</v>
      </c>
    </row>
    <row r="108" spans="1:12" x14ac:dyDescent="0.2">
      <c r="A108">
        <v>102</v>
      </c>
      <c r="B108">
        <f t="shared" si="20"/>
        <v>98</v>
      </c>
      <c r="C108">
        <f t="shared" si="20"/>
        <v>108</v>
      </c>
      <c r="D108">
        <f t="shared" si="20"/>
        <v>103.5</v>
      </c>
      <c r="E108">
        <f t="shared" si="14"/>
        <v>98</v>
      </c>
      <c r="F108">
        <f t="shared" si="15"/>
        <v>108</v>
      </c>
      <c r="G108">
        <f t="shared" si="16"/>
        <v>103.5</v>
      </c>
      <c r="H108" s="8">
        <f t="array" ref="H108">MIN(IF(B108:D108&lt;&gt;-99999999999,B108:D108))</f>
        <v>98</v>
      </c>
      <c r="I108">
        <f t="shared" si="13"/>
        <v>-99999999999</v>
      </c>
      <c r="K108">
        <f t="shared" si="17"/>
        <v>61020</v>
      </c>
      <c r="L108">
        <f t="shared" si="18"/>
        <v>-99999999999</v>
      </c>
    </row>
    <row r="109" spans="1:12" x14ac:dyDescent="0.2">
      <c r="A109">
        <v>103</v>
      </c>
      <c r="B109">
        <f t="shared" si="20"/>
        <v>97</v>
      </c>
      <c r="C109">
        <f t="shared" si="20"/>
        <v>106.5</v>
      </c>
      <c r="D109">
        <f t="shared" si="20"/>
        <v>102.75</v>
      </c>
      <c r="E109">
        <f t="shared" si="14"/>
        <v>97</v>
      </c>
      <c r="F109">
        <f t="shared" si="15"/>
        <v>106.5</v>
      </c>
      <c r="G109">
        <f t="shared" si="16"/>
        <v>102.75</v>
      </c>
      <c r="H109" s="8">
        <f t="array" ref="H109">MIN(IF(B109:D109&lt;&gt;-99999999999,B109:D109))</f>
        <v>97</v>
      </c>
      <c r="I109">
        <f t="shared" si="13"/>
        <v>-99999999999</v>
      </c>
      <c r="K109">
        <f t="shared" si="17"/>
        <v>61030</v>
      </c>
      <c r="L109">
        <f t="shared" si="18"/>
        <v>-99999999999</v>
      </c>
    </row>
    <row r="110" spans="1:12" x14ac:dyDescent="0.2">
      <c r="A110">
        <v>104</v>
      </c>
      <c r="B110">
        <f t="shared" si="20"/>
        <v>96</v>
      </c>
      <c r="C110">
        <f t="shared" si="20"/>
        <v>105</v>
      </c>
      <c r="D110">
        <f t="shared" si="20"/>
        <v>102</v>
      </c>
      <c r="E110">
        <f t="shared" si="14"/>
        <v>96</v>
      </c>
      <c r="F110">
        <f t="shared" si="15"/>
        <v>105</v>
      </c>
      <c r="G110">
        <f t="shared" si="16"/>
        <v>102</v>
      </c>
      <c r="H110" s="8">
        <f t="array" ref="H110">MIN(IF(B110:D110&lt;&gt;-99999999999,B110:D110))</f>
        <v>96</v>
      </c>
      <c r="I110">
        <f t="shared" si="13"/>
        <v>-99999999999</v>
      </c>
      <c r="K110">
        <f t="shared" si="17"/>
        <v>61040</v>
      </c>
      <c r="L110">
        <f t="shared" si="18"/>
        <v>-99999999999</v>
      </c>
    </row>
    <row r="111" spans="1:12" x14ac:dyDescent="0.2">
      <c r="A111">
        <v>105</v>
      </c>
      <c r="B111">
        <f t="shared" si="20"/>
        <v>95</v>
      </c>
      <c r="C111">
        <f t="shared" si="20"/>
        <v>103.5</v>
      </c>
      <c r="D111">
        <f t="shared" si="20"/>
        <v>101.25</v>
      </c>
      <c r="E111">
        <f t="shared" si="14"/>
        <v>95</v>
      </c>
      <c r="F111">
        <f t="shared" si="15"/>
        <v>103.5</v>
      </c>
      <c r="G111">
        <f t="shared" si="16"/>
        <v>101.25</v>
      </c>
      <c r="H111" s="8">
        <f t="array" ref="H111">MIN(IF(B111:D111&lt;&gt;-99999999999,B111:D111))</f>
        <v>95</v>
      </c>
      <c r="I111">
        <f t="shared" si="13"/>
        <v>-99999999999</v>
      </c>
      <c r="K111">
        <f t="shared" si="17"/>
        <v>61050</v>
      </c>
      <c r="L111">
        <f t="shared" si="18"/>
        <v>-99999999999</v>
      </c>
    </row>
    <row r="112" spans="1:12" x14ac:dyDescent="0.2">
      <c r="A112">
        <v>106</v>
      </c>
      <c r="B112">
        <f t="shared" si="20"/>
        <v>94</v>
      </c>
      <c r="C112">
        <f t="shared" si="20"/>
        <v>102</v>
      </c>
      <c r="D112">
        <f t="shared" si="20"/>
        <v>100.5</v>
      </c>
      <c r="E112">
        <f t="shared" si="14"/>
        <v>94</v>
      </c>
      <c r="F112">
        <f t="shared" si="15"/>
        <v>102</v>
      </c>
      <c r="G112">
        <f t="shared" si="16"/>
        <v>100.5</v>
      </c>
      <c r="H112" s="8">
        <f t="array" ref="H112">MIN(IF(B112:D112&lt;&gt;-99999999999,B112:D112))</f>
        <v>94</v>
      </c>
      <c r="I112">
        <f t="shared" si="13"/>
        <v>-99999999999</v>
      </c>
      <c r="K112">
        <f t="shared" si="17"/>
        <v>61060</v>
      </c>
      <c r="L112">
        <f t="shared" si="18"/>
        <v>-99999999999</v>
      </c>
    </row>
    <row r="113" spans="1:12" x14ac:dyDescent="0.2">
      <c r="A113">
        <v>107</v>
      </c>
      <c r="B113">
        <f t="shared" si="20"/>
        <v>93</v>
      </c>
      <c r="C113">
        <f t="shared" si="20"/>
        <v>100.5</v>
      </c>
      <c r="D113">
        <f t="shared" si="20"/>
        <v>99.75</v>
      </c>
      <c r="E113">
        <f t="shared" si="14"/>
        <v>93</v>
      </c>
      <c r="F113">
        <f t="shared" si="15"/>
        <v>100.5</v>
      </c>
      <c r="G113">
        <f t="shared" si="16"/>
        <v>99.75</v>
      </c>
      <c r="H113" s="8">
        <f t="array" ref="H113">MIN(IF(B113:D113&lt;&gt;-99999999999,B113:D113))</f>
        <v>93</v>
      </c>
      <c r="I113">
        <f t="shared" si="13"/>
        <v>-99999999999</v>
      </c>
      <c r="K113">
        <f t="shared" si="17"/>
        <v>61070</v>
      </c>
      <c r="L113">
        <f t="shared" si="18"/>
        <v>-99999999999</v>
      </c>
    </row>
    <row r="114" spans="1:12" x14ac:dyDescent="0.2">
      <c r="A114">
        <v>108</v>
      </c>
      <c r="B114">
        <f t="shared" si="20"/>
        <v>92</v>
      </c>
      <c r="C114">
        <f t="shared" si="20"/>
        <v>99</v>
      </c>
      <c r="D114">
        <f t="shared" si="20"/>
        <v>99</v>
      </c>
      <c r="E114">
        <f t="shared" si="14"/>
        <v>92</v>
      </c>
      <c r="F114">
        <f t="shared" si="15"/>
        <v>99</v>
      </c>
      <c r="G114">
        <f t="shared" si="16"/>
        <v>99</v>
      </c>
      <c r="H114" s="8">
        <f t="array" ref="H114">MIN(IF(B114:D114&lt;&gt;-99999999999,B114:D114))</f>
        <v>92</v>
      </c>
      <c r="I114">
        <f t="shared" si="13"/>
        <v>-99999999999</v>
      </c>
      <c r="K114">
        <f t="shared" si="17"/>
        <v>61080</v>
      </c>
      <c r="L114">
        <f t="shared" si="18"/>
        <v>-99999999999</v>
      </c>
    </row>
    <row r="115" spans="1:12" x14ac:dyDescent="0.2">
      <c r="A115">
        <v>109</v>
      </c>
      <c r="B115">
        <f t="shared" si="20"/>
        <v>91</v>
      </c>
      <c r="C115">
        <f t="shared" si="20"/>
        <v>97.5</v>
      </c>
      <c r="D115">
        <f t="shared" si="20"/>
        <v>98.25</v>
      </c>
      <c r="E115">
        <f t="shared" si="14"/>
        <v>91</v>
      </c>
      <c r="F115">
        <f t="shared" si="15"/>
        <v>97.5</v>
      </c>
      <c r="G115">
        <f t="shared" si="16"/>
        <v>98.25</v>
      </c>
      <c r="H115" s="8">
        <f t="array" ref="H115">MIN(IF(B115:D115&lt;&gt;-99999999999,B115:D115))</f>
        <v>91</v>
      </c>
      <c r="I115">
        <f t="shared" si="13"/>
        <v>-99999999999</v>
      </c>
      <c r="K115">
        <f t="shared" si="17"/>
        <v>61090</v>
      </c>
      <c r="L115">
        <f t="shared" si="18"/>
        <v>-99999999999</v>
      </c>
    </row>
    <row r="116" spans="1:12" x14ac:dyDescent="0.2">
      <c r="A116">
        <v>110</v>
      </c>
      <c r="B116">
        <f t="shared" si="20"/>
        <v>90</v>
      </c>
      <c r="C116">
        <f t="shared" si="20"/>
        <v>96</v>
      </c>
      <c r="D116">
        <f t="shared" si="20"/>
        <v>97.5</v>
      </c>
      <c r="E116">
        <f t="shared" si="14"/>
        <v>90</v>
      </c>
      <c r="F116">
        <f t="shared" si="15"/>
        <v>96</v>
      </c>
      <c r="G116">
        <f t="shared" si="16"/>
        <v>97.5</v>
      </c>
      <c r="H116" s="8">
        <f t="array" ref="H116">MIN(IF(B116:D116&lt;&gt;-99999999999,B116:D116))</f>
        <v>90</v>
      </c>
      <c r="I116">
        <f t="shared" si="13"/>
        <v>-99999999999</v>
      </c>
      <c r="K116">
        <f t="shared" si="17"/>
        <v>61100</v>
      </c>
      <c r="L116">
        <f t="shared" si="18"/>
        <v>-99999999999</v>
      </c>
    </row>
    <row r="117" spans="1:12" x14ac:dyDescent="0.2">
      <c r="A117">
        <v>111</v>
      </c>
      <c r="B117">
        <f t="shared" si="20"/>
        <v>89</v>
      </c>
      <c r="C117">
        <f t="shared" si="20"/>
        <v>94.5</v>
      </c>
      <c r="D117">
        <f t="shared" si="20"/>
        <v>96.75</v>
      </c>
      <c r="E117">
        <f t="shared" si="14"/>
        <v>89</v>
      </c>
      <c r="F117">
        <f t="shared" si="15"/>
        <v>94.5</v>
      </c>
      <c r="G117">
        <f t="shared" si="16"/>
        <v>96.75</v>
      </c>
      <c r="H117" s="8">
        <f t="array" ref="H117">MIN(IF(B117:D117&lt;&gt;-99999999999,B117:D117))</f>
        <v>89</v>
      </c>
      <c r="I117">
        <f t="shared" si="13"/>
        <v>-99999999999</v>
      </c>
      <c r="K117">
        <f t="shared" si="17"/>
        <v>61110</v>
      </c>
      <c r="L117">
        <f t="shared" si="18"/>
        <v>-99999999999</v>
      </c>
    </row>
    <row r="118" spans="1:12" x14ac:dyDescent="0.2">
      <c r="A118">
        <v>112</v>
      </c>
      <c r="B118">
        <f t="shared" si="20"/>
        <v>88</v>
      </c>
      <c r="C118">
        <f t="shared" si="20"/>
        <v>93</v>
      </c>
      <c r="D118">
        <f t="shared" si="20"/>
        <v>96</v>
      </c>
      <c r="E118">
        <f t="shared" si="14"/>
        <v>88</v>
      </c>
      <c r="F118">
        <f t="shared" si="15"/>
        <v>93</v>
      </c>
      <c r="G118">
        <f t="shared" si="16"/>
        <v>96</v>
      </c>
      <c r="H118" s="8">
        <f t="array" ref="H118">MIN(IF(B118:D118&lt;&gt;-99999999999,B118:D118))</f>
        <v>88</v>
      </c>
      <c r="I118">
        <f t="shared" si="13"/>
        <v>-99999999999</v>
      </c>
      <c r="K118">
        <f t="shared" si="17"/>
        <v>61120</v>
      </c>
      <c r="L118">
        <f t="shared" si="18"/>
        <v>-99999999999</v>
      </c>
    </row>
    <row r="119" spans="1:12" x14ac:dyDescent="0.2">
      <c r="A119">
        <v>113</v>
      </c>
      <c r="B119">
        <f t="shared" si="20"/>
        <v>87</v>
      </c>
      <c r="C119">
        <f t="shared" si="20"/>
        <v>91.5</v>
      </c>
      <c r="D119">
        <f t="shared" si="20"/>
        <v>95.25</v>
      </c>
      <c r="E119">
        <f t="shared" si="14"/>
        <v>87</v>
      </c>
      <c r="F119">
        <f t="shared" si="15"/>
        <v>91.5</v>
      </c>
      <c r="G119">
        <f t="shared" si="16"/>
        <v>95.25</v>
      </c>
      <c r="H119" s="8">
        <f t="array" ref="H119">MIN(IF(B119:D119&lt;&gt;-99999999999,B119:D119))</f>
        <v>87</v>
      </c>
      <c r="I119">
        <f t="shared" si="13"/>
        <v>-99999999999</v>
      </c>
      <c r="K119">
        <f t="shared" si="17"/>
        <v>61130</v>
      </c>
      <c r="L119">
        <f t="shared" si="18"/>
        <v>-99999999999</v>
      </c>
    </row>
    <row r="120" spans="1:12" x14ac:dyDescent="0.2">
      <c r="A120">
        <v>114</v>
      </c>
      <c r="B120">
        <f t="shared" si="20"/>
        <v>86</v>
      </c>
      <c r="C120">
        <f t="shared" si="20"/>
        <v>90</v>
      </c>
      <c r="D120">
        <f t="shared" si="20"/>
        <v>94.5</v>
      </c>
      <c r="E120">
        <f t="shared" si="14"/>
        <v>86</v>
      </c>
      <c r="F120">
        <f t="shared" si="15"/>
        <v>90</v>
      </c>
      <c r="G120">
        <f t="shared" si="16"/>
        <v>94.5</v>
      </c>
      <c r="H120" s="8">
        <f t="array" ref="H120">MIN(IF(B120:D120&lt;&gt;-99999999999,B120:D120))</f>
        <v>86</v>
      </c>
      <c r="I120">
        <f t="shared" si="13"/>
        <v>-99999999999</v>
      </c>
      <c r="K120">
        <f t="shared" si="17"/>
        <v>61140</v>
      </c>
      <c r="L120">
        <f t="shared" si="18"/>
        <v>-99999999999</v>
      </c>
    </row>
    <row r="121" spans="1:12" x14ac:dyDescent="0.2">
      <c r="A121">
        <v>115</v>
      </c>
      <c r="B121">
        <f t="shared" si="20"/>
        <v>85</v>
      </c>
      <c r="C121">
        <f t="shared" si="20"/>
        <v>88.5</v>
      </c>
      <c r="D121">
        <f t="shared" si="20"/>
        <v>93.75</v>
      </c>
      <c r="E121">
        <f t="shared" si="14"/>
        <v>85</v>
      </c>
      <c r="F121">
        <f t="shared" si="15"/>
        <v>88.5</v>
      </c>
      <c r="G121">
        <f t="shared" si="16"/>
        <v>93.75</v>
      </c>
      <c r="H121" s="8">
        <f t="array" ref="H121">MIN(IF(B121:D121&lt;&gt;-99999999999,B121:D121))</f>
        <v>85</v>
      </c>
      <c r="I121">
        <f t="shared" si="13"/>
        <v>-99999999999</v>
      </c>
      <c r="K121">
        <f t="shared" si="17"/>
        <v>61150</v>
      </c>
      <c r="L121">
        <f t="shared" si="18"/>
        <v>-99999999999</v>
      </c>
    </row>
    <row r="122" spans="1:12" x14ac:dyDescent="0.2">
      <c r="A122">
        <v>116</v>
      </c>
      <c r="B122">
        <f t="shared" si="20"/>
        <v>84</v>
      </c>
      <c r="C122">
        <f t="shared" si="20"/>
        <v>87</v>
      </c>
      <c r="D122">
        <f t="shared" si="20"/>
        <v>93</v>
      </c>
      <c r="E122">
        <f t="shared" si="14"/>
        <v>84</v>
      </c>
      <c r="F122">
        <f t="shared" si="15"/>
        <v>87</v>
      </c>
      <c r="G122">
        <f t="shared" si="16"/>
        <v>93</v>
      </c>
      <c r="H122" s="8">
        <f t="array" ref="H122">MIN(IF(B122:D122&lt;&gt;-99999999999,B122:D122))</f>
        <v>84</v>
      </c>
      <c r="I122">
        <f t="shared" si="13"/>
        <v>-99999999999</v>
      </c>
      <c r="K122">
        <f t="shared" si="17"/>
        <v>61160</v>
      </c>
      <c r="L122">
        <f t="shared" si="18"/>
        <v>-99999999999</v>
      </c>
    </row>
    <row r="123" spans="1:12" x14ac:dyDescent="0.2">
      <c r="A123">
        <v>117</v>
      </c>
      <c r="B123">
        <f t="shared" si="20"/>
        <v>83</v>
      </c>
      <c r="C123">
        <f t="shared" si="20"/>
        <v>85.5</v>
      </c>
      <c r="D123">
        <f t="shared" si="20"/>
        <v>92.25</v>
      </c>
      <c r="E123">
        <f t="shared" si="14"/>
        <v>83</v>
      </c>
      <c r="F123">
        <f t="shared" si="15"/>
        <v>85.5</v>
      </c>
      <c r="G123">
        <f t="shared" si="16"/>
        <v>92.25</v>
      </c>
      <c r="H123" s="8">
        <f t="array" ref="H123">MIN(IF(B123:D123&lt;&gt;-99999999999,B123:D123))</f>
        <v>83</v>
      </c>
      <c r="I123">
        <f t="shared" si="13"/>
        <v>-99999999999</v>
      </c>
      <c r="K123">
        <f t="shared" si="17"/>
        <v>61170</v>
      </c>
      <c r="L123">
        <f t="shared" si="18"/>
        <v>-99999999999</v>
      </c>
    </row>
    <row r="124" spans="1:12" x14ac:dyDescent="0.2">
      <c r="A124">
        <v>118</v>
      </c>
      <c r="B124">
        <f t="shared" si="20"/>
        <v>82</v>
      </c>
      <c r="C124">
        <f t="shared" si="20"/>
        <v>84</v>
      </c>
      <c r="D124">
        <f t="shared" si="20"/>
        <v>91.5</v>
      </c>
      <c r="E124">
        <f t="shared" si="14"/>
        <v>82</v>
      </c>
      <c r="F124">
        <f t="shared" si="15"/>
        <v>84</v>
      </c>
      <c r="G124">
        <f t="shared" si="16"/>
        <v>91.5</v>
      </c>
      <c r="H124" s="8">
        <f t="array" ref="H124">MIN(IF(B124:D124&lt;&gt;-99999999999,B124:D124))</f>
        <v>82</v>
      </c>
      <c r="I124">
        <f t="shared" si="13"/>
        <v>-99999999999</v>
      </c>
      <c r="K124">
        <f t="shared" si="17"/>
        <v>61180</v>
      </c>
      <c r="L124">
        <f t="shared" si="18"/>
        <v>-99999999999</v>
      </c>
    </row>
    <row r="125" spans="1:12" x14ac:dyDescent="0.2">
      <c r="A125">
        <v>119</v>
      </c>
      <c r="B125">
        <f t="shared" si="20"/>
        <v>81</v>
      </c>
      <c r="C125">
        <f t="shared" si="20"/>
        <v>82.5</v>
      </c>
      <c r="D125">
        <f t="shared" si="20"/>
        <v>90.75</v>
      </c>
      <c r="E125">
        <f t="shared" si="14"/>
        <v>81</v>
      </c>
      <c r="F125">
        <f t="shared" si="15"/>
        <v>82.5</v>
      </c>
      <c r="G125">
        <f t="shared" si="16"/>
        <v>90.75</v>
      </c>
      <c r="H125" s="8">
        <f t="array" ref="H125">MIN(IF(B125:D125&lt;&gt;-99999999999,B125:D125))</f>
        <v>81</v>
      </c>
      <c r="I125">
        <f t="shared" si="13"/>
        <v>-99999999999</v>
      </c>
      <c r="K125">
        <f t="shared" si="17"/>
        <v>61190</v>
      </c>
      <c r="L125">
        <f t="shared" si="18"/>
        <v>-99999999999</v>
      </c>
    </row>
    <row r="126" spans="1:12" x14ac:dyDescent="0.2">
      <c r="A126">
        <v>120</v>
      </c>
      <c r="B126">
        <f t="shared" si="20"/>
        <v>80</v>
      </c>
      <c r="C126">
        <f t="shared" si="20"/>
        <v>81</v>
      </c>
      <c r="D126">
        <f t="shared" si="20"/>
        <v>90</v>
      </c>
      <c r="E126">
        <f t="shared" si="14"/>
        <v>80</v>
      </c>
      <c r="F126">
        <f t="shared" si="15"/>
        <v>81</v>
      </c>
      <c r="G126">
        <f t="shared" si="16"/>
        <v>90</v>
      </c>
      <c r="H126" s="8">
        <f t="array" ref="H126">MIN(IF(B126:D126&lt;&gt;-99999999999,B126:D126))</f>
        <v>80</v>
      </c>
      <c r="I126">
        <f t="shared" si="13"/>
        <v>-99999999999</v>
      </c>
      <c r="K126">
        <f t="shared" si="17"/>
        <v>61200</v>
      </c>
      <c r="L126">
        <f t="shared" si="18"/>
        <v>-99999999999</v>
      </c>
    </row>
    <row r="127" spans="1:12" x14ac:dyDescent="0.2">
      <c r="A127">
        <v>121</v>
      </c>
      <c r="B127">
        <f t="shared" ref="B127:D146" si="21">IF(B$2,B$5/B$4-B$3/B$4*$A127,-99999999999)</f>
        <v>79</v>
      </c>
      <c r="C127">
        <f t="shared" si="21"/>
        <v>79.5</v>
      </c>
      <c r="D127">
        <f t="shared" si="21"/>
        <v>89.25</v>
      </c>
      <c r="E127">
        <f t="shared" si="14"/>
        <v>79</v>
      </c>
      <c r="F127">
        <f t="shared" si="15"/>
        <v>79.5</v>
      </c>
      <c r="G127">
        <f t="shared" si="16"/>
        <v>89.25</v>
      </c>
      <c r="H127" s="8">
        <f t="array" ref="H127">MIN(IF(B127:D127&lt;&gt;-99999999999,B127:D127))</f>
        <v>79</v>
      </c>
      <c r="I127">
        <f t="shared" si="13"/>
        <v>-99999999999</v>
      </c>
      <c r="K127">
        <f t="shared" si="17"/>
        <v>61210</v>
      </c>
      <c r="L127">
        <f t="shared" si="18"/>
        <v>-99999999999</v>
      </c>
    </row>
    <row r="128" spans="1:12" x14ac:dyDescent="0.2">
      <c r="A128">
        <v>122</v>
      </c>
      <c r="B128">
        <f t="shared" si="21"/>
        <v>78</v>
      </c>
      <c r="C128">
        <f t="shared" si="21"/>
        <v>78</v>
      </c>
      <c r="D128">
        <f t="shared" si="21"/>
        <v>88.5</v>
      </c>
      <c r="E128">
        <f t="shared" si="14"/>
        <v>78</v>
      </c>
      <c r="F128">
        <f t="shared" si="15"/>
        <v>78</v>
      </c>
      <c r="G128">
        <f t="shared" si="16"/>
        <v>88.5</v>
      </c>
      <c r="H128" s="8">
        <f t="array" ref="H128">MIN(IF(B128:D128&lt;&gt;-99999999999,B128:D128))</f>
        <v>78</v>
      </c>
      <c r="I128">
        <f t="shared" si="13"/>
        <v>-99999999999</v>
      </c>
      <c r="K128">
        <f t="shared" si="17"/>
        <v>61220</v>
      </c>
      <c r="L128">
        <f t="shared" si="18"/>
        <v>78</v>
      </c>
    </row>
    <row r="129" spans="1:12" x14ac:dyDescent="0.2">
      <c r="A129">
        <v>123</v>
      </c>
      <c r="B129">
        <f t="shared" si="21"/>
        <v>77</v>
      </c>
      <c r="C129">
        <f t="shared" si="21"/>
        <v>76.5</v>
      </c>
      <c r="D129">
        <f t="shared" si="21"/>
        <v>87.75</v>
      </c>
      <c r="E129">
        <f t="shared" si="14"/>
        <v>77</v>
      </c>
      <c r="F129">
        <f t="shared" si="15"/>
        <v>76.5</v>
      </c>
      <c r="G129">
        <f t="shared" si="16"/>
        <v>87.75</v>
      </c>
      <c r="H129" s="8">
        <f t="array" ref="H129">MIN(IF(B129:D129&lt;&gt;-99999999999,B129:D129))</f>
        <v>76.5</v>
      </c>
      <c r="I129">
        <f t="shared" si="13"/>
        <v>-99999999999</v>
      </c>
      <c r="K129">
        <f t="shared" si="17"/>
        <v>61080</v>
      </c>
      <c r="L129">
        <f t="shared" si="18"/>
        <v>-99999999999</v>
      </c>
    </row>
    <row r="130" spans="1:12" x14ac:dyDescent="0.2">
      <c r="A130">
        <v>124</v>
      </c>
      <c r="B130">
        <f t="shared" si="21"/>
        <v>76</v>
      </c>
      <c r="C130">
        <f t="shared" si="21"/>
        <v>75</v>
      </c>
      <c r="D130">
        <f t="shared" si="21"/>
        <v>87</v>
      </c>
      <c r="E130">
        <f t="shared" si="14"/>
        <v>76</v>
      </c>
      <c r="F130">
        <f t="shared" si="15"/>
        <v>75</v>
      </c>
      <c r="G130">
        <f t="shared" si="16"/>
        <v>87</v>
      </c>
      <c r="H130" s="8">
        <f t="array" ref="H130">MIN(IF(B130:D130&lt;&gt;-99999999999,B130:D130))</f>
        <v>75</v>
      </c>
      <c r="I130">
        <f t="shared" si="13"/>
        <v>-99999999999</v>
      </c>
      <c r="K130">
        <f t="shared" si="17"/>
        <v>60940</v>
      </c>
      <c r="L130">
        <f t="shared" si="18"/>
        <v>-99999999999</v>
      </c>
    </row>
    <row r="131" spans="1:12" x14ac:dyDescent="0.2">
      <c r="A131">
        <v>125</v>
      </c>
      <c r="B131">
        <f t="shared" si="21"/>
        <v>75</v>
      </c>
      <c r="C131">
        <f t="shared" si="21"/>
        <v>73.5</v>
      </c>
      <c r="D131">
        <f t="shared" si="21"/>
        <v>86.25</v>
      </c>
      <c r="E131">
        <f t="shared" si="14"/>
        <v>75</v>
      </c>
      <c r="F131">
        <f t="shared" si="15"/>
        <v>73.5</v>
      </c>
      <c r="G131">
        <f t="shared" si="16"/>
        <v>86.25</v>
      </c>
      <c r="H131" s="8">
        <f t="array" ref="H131">MIN(IF(B131:D131&lt;&gt;-99999999999,B131:D131))</f>
        <v>73.5</v>
      </c>
      <c r="I131">
        <f t="shared" si="13"/>
        <v>-99999999999</v>
      </c>
      <c r="K131">
        <f t="shared" si="17"/>
        <v>60800</v>
      </c>
      <c r="L131">
        <f t="shared" si="18"/>
        <v>-99999999999</v>
      </c>
    </row>
    <row r="132" spans="1:12" x14ac:dyDescent="0.2">
      <c r="A132">
        <v>126</v>
      </c>
      <c r="B132">
        <f t="shared" si="21"/>
        <v>74</v>
      </c>
      <c r="C132">
        <f t="shared" si="21"/>
        <v>72</v>
      </c>
      <c r="D132">
        <f t="shared" si="21"/>
        <v>85.5</v>
      </c>
      <c r="E132">
        <f t="shared" si="14"/>
        <v>74</v>
      </c>
      <c r="F132">
        <f t="shared" si="15"/>
        <v>72</v>
      </c>
      <c r="G132">
        <f t="shared" si="16"/>
        <v>85.5</v>
      </c>
      <c r="H132" s="8">
        <f t="array" ref="H132">MIN(IF(B132:D132&lt;&gt;-99999999999,B132:D132))</f>
        <v>72</v>
      </c>
      <c r="I132">
        <f t="shared" si="13"/>
        <v>-99999999999</v>
      </c>
      <c r="K132">
        <f t="shared" si="17"/>
        <v>60660</v>
      </c>
      <c r="L132">
        <f t="shared" si="18"/>
        <v>-99999999999</v>
      </c>
    </row>
    <row r="133" spans="1:12" x14ac:dyDescent="0.2">
      <c r="A133">
        <v>127</v>
      </c>
      <c r="B133">
        <f t="shared" si="21"/>
        <v>73</v>
      </c>
      <c r="C133">
        <f t="shared" si="21"/>
        <v>70.5</v>
      </c>
      <c r="D133">
        <f t="shared" si="21"/>
        <v>84.75</v>
      </c>
      <c r="E133">
        <f t="shared" si="14"/>
        <v>73</v>
      </c>
      <c r="F133">
        <f t="shared" si="15"/>
        <v>70.5</v>
      </c>
      <c r="G133">
        <f t="shared" si="16"/>
        <v>84.75</v>
      </c>
      <c r="H133" s="8">
        <f t="array" ref="H133">MIN(IF(B133:D133&lt;&gt;-99999999999,B133:D133))</f>
        <v>70.5</v>
      </c>
      <c r="I133">
        <f t="shared" si="13"/>
        <v>-99999999999</v>
      </c>
      <c r="K133">
        <f t="shared" si="17"/>
        <v>60520</v>
      </c>
      <c r="L133">
        <f t="shared" si="18"/>
        <v>-99999999999</v>
      </c>
    </row>
    <row r="134" spans="1:12" x14ac:dyDescent="0.2">
      <c r="A134">
        <v>128</v>
      </c>
      <c r="B134">
        <f t="shared" si="21"/>
        <v>72</v>
      </c>
      <c r="C134">
        <f t="shared" si="21"/>
        <v>69</v>
      </c>
      <c r="D134">
        <f t="shared" si="21"/>
        <v>84</v>
      </c>
      <c r="E134">
        <f t="shared" si="14"/>
        <v>72</v>
      </c>
      <c r="F134">
        <f t="shared" si="15"/>
        <v>69</v>
      </c>
      <c r="G134">
        <f t="shared" si="16"/>
        <v>84</v>
      </c>
      <c r="H134" s="8">
        <f t="array" ref="H134">MIN(IF(B134:D134&lt;&gt;-99999999999,B134:D134))</f>
        <v>69</v>
      </c>
      <c r="I134">
        <f t="shared" ref="I134:I197" si="22">IF(I$2,I$5/I$4-I$3/I$4*$A134,-99999999999)</f>
        <v>-99999999999</v>
      </c>
      <c r="K134">
        <f t="shared" si="17"/>
        <v>60380</v>
      </c>
      <c r="L134">
        <f t="shared" si="18"/>
        <v>-99999999999</v>
      </c>
    </row>
    <row r="135" spans="1:12" x14ac:dyDescent="0.2">
      <c r="A135">
        <v>129</v>
      </c>
      <c r="B135">
        <f t="shared" si="21"/>
        <v>71</v>
      </c>
      <c r="C135">
        <f t="shared" si="21"/>
        <v>67.5</v>
      </c>
      <c r="D135">
        <f t="shared" si="21"/>
        <v>83.25</v>
      </c>
      <c r="E135">
        <f t="shared" ref="E135:E198" si="23">IF(E$2,B135,-99999999999)</f>
        <v>71</v>
      </c>
      <c r="F135">
        <f t="shared" ref="F135:F198" si="24">IF(F$2,C135,-99999999999)</f>
        <v>67.5</v>
      </c>
      <c r="G135">
        <f t="shared" ref="G135:G198" si="25">IF(G$2,D135,-99999999999)</f>
        <v>83.25</v>
      </c>
      <c r="H135" s="8">
        <f t="array" ref="H135">MIN(IF(B135:D135&lt;&gt;-99999999999,B135:D135))</f>
        <v>67.5</v>
      </c>
      <c r="I135">
        <f t="shared" si="22"/>
        <v>-99999999999</v>
      </c>
      <c r="K135">
        <f t="shared" ref="K135:K198" si="26">IF(H135&lt;0,0,A135*$I$3+H135*$I$4)</f>
        <v>60240</v>
      </c>
      <c r="L135">
        <f t="shared" ref="L135:L198" si="27">IF(L$2,IF(K135=$K$5,H135,-99999999999),-99999999999)</f>
        <v>-99999999999</v>
      </c>
    </row>
    <row r="136" spans="1:12" x14ac:dyDescent="0.2">
      <c r="A136">
        <v>130</v>
      </c>
      <c r="B136">
        <f t="shared" si="21"/>
        <v>70</v>
      </c>
      <c r="C136">
        <f t="shared" si="21"/>
        <v>66</v>
      </c>
      <c r="D136">
        <f t="shared" si="21"/>
        <v>82.5</v>
      </c>
      <c r="E136">
        <f t="shared" si="23"/>
        <v>70</v>
      </c>
      <c r="F136">
        <f t="shared" si="24"/>
        <v>66</v>
      </c>
      <c r="G136">
        <f t="shared" si="25"/>
        <v>82.5</v>
      </c>
      <c r="H136" s="8">
        <f t="array" ref="H136">MIN(IF(B136:D136&lt;&gt;-99999999999,B136:D136))</f>
        <v>66</v>
      </c>
      <c r="I136">
        <f t="shared" si="22"/>
        <v>-99999999999</v>
      </c>
      <c r="K136">
        <f t="shared" si="26"/>
        <v>60100</v>
      </c>
      <c r="L136">
        <f t="shared" si="27"/>
        <v>-99999999999</v>
      </c>
    </row>
    <row r="137" spans="1:12" x14ac:dyDescent="0.2">
      <c r="A137">
        <v>131</v>
      </c>
      <c r="B137">
        <f t="shared" si="21"/>
        <v>69</v>
      </c>
      <c r="C137">
        <f t="shared" si="21"/>
        <v>64.5</v>
      </c>
      <c r="D137">
        <f t="shared" si="21"/>
        <v>81.75</v>
      </c>
      <c r="E137">
        <f t="shared" si="23"/>
        <v>69</v>
      </c>
      <c r="F137">
        <f t="shared" si="24"/>
        <v>64.5</v>
      </c>
      <c r="G137">
        <f t="shared" si="25"/>
        <v>81.75</v>
      </c>
      <c r="H137" s="8">
        <f t="array" ref="H137">MIN(IF(B137:D137&lt;&gt;-99999999999,B137:D137))</f>
        <v>64.5</v>
      </c>
      <c r="I137">
        <f t="shared" si="22"/>
        <v>-99999999999</v>
      </c>
      <c r="K137">
        <f t="shared" si="26"/>
        <v>59960</v>
      </c>
      <c r="L137">
        <f t="shared" si="27"/>
        <v>-99999999999</v>
      </c>
    </row>
    <row r="138" spans="1:12" x14ac:dyDescent="0.2">
      <c r="A138">
        <v>132</v>
      </c>
      <c r="B138">
        <f t="shared" si="21"/>
        <v>68</v>
      </c>
      <c r="C138">
        <f t="shared" si="21"/>
        <v>63</v>
      </c>
      <c r="D138">
        <f t="shared" si="21"/>
        <v>81</v>
      </c>
      <c r="E138">
        <f t="shared" si="23"/>
        <v>68</v>
      </c>
      <c r="F138">
        <f t="shared" si="24"/>
        <v>63</v>
      </c>
      <c r="G138">
        <f t="shared" si="25"/>
        <v>81</v>
      </c>
      <c r="H138" s="8">
        <f t="array" ref="H138">MIN(IF(B138:D138&lt;&gt;-99999999999,B138:D138))</f>
        <v>63</v>
      </c>
      <c r="I138">
        <f t="shared" si="22"/>
        <v>-99999999999</v>
      </c>
      <c r="K138">
        <f t="shared" si="26"/>
        <v>59820</v>
      </c>
      <c r="L138">
        <f t="shared" si="27"/>
        <v>-99999999999</v>
      </c>
    </row>
    <row r="139" spans="1:12" x14ac:dyDescent="0.2">
      <c r="A139">
        <v>133</v>
      </c>
      <c r="B139">
        <f t="shared" si="21"/>
        <v>67</v>
      </c>
      <c r="C139">
        <f t="shared" si="21"/>
        <v>61.5</v>
      </c>
      <c r="D139">
        <f t="shared" si="21"/>
        <v>80.25</v>
      </c>
      <c r="E139">
        <f t="shared" si="23"/>
        <v>67</v>
      </c>
      <c r="F139">
        <f t="shared" si="24"/>
        <v>61.5</v>
      </c>
      <c r="G139">
        <f t="shared" si="25"/>
        <v>80.25</v>
      </c>
      <c r="H139" s="8">
        <f t="array" ref="H139">MIN(IF(B139:D139&lt;&gt;-99999999999,B139:D139))</f>
        <v>61.5</v>
      </c>
      <c r="I139">
        <f t="shared" si="22"/>
        <v>-99999999999</v>
      </c>
      <c r="K139">
        <f t="shared" si="26"/>
        <v>59680</v>
      </c>
      <c r="L139">
        <f t="shared" si="27"/>
        <v>-99999999999</v>
      </c>
    </row>
    <row r="140" spans="1:12" x14ac:dyDescent="0.2">
      <c r="A140">
        <v>134</v>
      </c>
      <c r="B140">
        <f t="shared" si="21"/>
        <v>66</v>
      </c>
      <c r="C140">
        <f t="shared" si="21"/>
        <v>60</v>
      </c>
      <c r="D140">
        <f t="shared" si="21"/>
        <v>79.5</v>
      </c>
      <c r="E140">
        <f t="shared" si="23"/>
        <v>66</v>
      </c>
      <c r="F140">
        <f t="shared" si="24"/>
        <v>60</v>
      </c>
      <c r="G140">
        <f t="shared" si="25"/>
        <v>79.5</v>
      </c>
      <c r="H140" s="8">
        <f t="array" ref="H140">MIN(IF(B140:D140&lt;&gt;-99999999999,B140:D140))</f>
        <v>60</v>
      </c>
      <c r="I140">
        <f t="shared" si="22"/>
        <v>-99999999999</v>
      </c>
      <c r="K140">
        <f t="shared" si="26"/>
        <v>59540</v>
      </c>
      <c r="L140">
        <f t="shared" si="27"/>
        <v>-99999999999</v>
      </c>
    </row>
    <row r="141" spans="1:12" x14ac:dyDescent="0.2">
      <c r="A141">
        <v>135</v>
      </c>
      <c r="B141">
        <f t="shared" si="21"/>
        <v>65</v>
      </c>
      <c r="C141">
        <f t="shared" si="21"/>
        <v>58.5</v>
      </c>
      <c r="D141">
        <f t="shared" si="21"/>
        <v>78.75</v>
      </c>
      <c r="E141">
        <f t="shared" si="23"/>
        <v>65</v>
      </c>
      <c r="F141">
        <f t="shared" si="24"/>
        <v>58.5</v>
      </c>
      <c r="G141">
        <f t="shared" si="25"/>
        <v>78.75</v>
      </c>
      <c r="H141" s="8">
        <f t="array" ref="H141">MIN(IF(B141:D141&lt;&gt;-99999999999,B141:D141))</f>
        <v>58.5</v>
      </c>
      <c r="I141">
        <f t="shared" si="22"/>
        <v>-99999999999</v>
      </c>
      <c r="K141">
        <f t="shared" si="26"/>
        <v>59400</v>
      </c>
      <c r="L141">
        <f t="shared" si="27"/>
        <v>-99999999999</v>
      </c>
    </row>
    <row r="142" spans="1:12" x14ac:dyDescent="0.2">
      <c r="A142">
        <v>136</v>
      </c>
      <c r="B142">
        <f t="shared" si="21"/>
        <v>64</v>
      </c>
      <c r="C142">
        <f t="shared" si="21"/>
        <v>57</v>
      </c>
      <c r="D142">
        <f t="shared" si="21"/>
        <v>78</v>
      </c>
      <c r="E142">
        <f t="shared" si="23"/>
        <v>64</v>
      </c>
      <c r="F142">
        <f t="shared" si="24"/>
        <v>57</v>
      </c>
      <c r="G142">
        <f t="shared" si="25"/>
        <v>78</v>
      </c>
      <c r="H142" s="8">
        <f t="array" ref="H142">MIN(IF(B142:D142&lt;&gt;-99999999999,B142:D142))</f>
        <v>57</v>
      </c>
      <c r="I142">
        <f t="shared" si="22"/>
        <v>-99999999999</v>
      </c>
      <c r="K142">
        <f t="shared" si="26"/>
        <v>59260</v>
      </c>
      <c r="L142">
        <f t="shared" si="27"/>
        <v>-99999999999</v>
      </c>
    </row>
    <row r="143" spans="1:12" x14ac:dyDescent="0.2">
      <c r="A143">
        <v>137</v>
      </c>
      <c r="B143">
        <f t="shared" si="21"/>
        <v>63</v>
      </c>
      <c r="C143">
        <f t="shared" si="21"/>
        <v>55.5</v>
      </c>
      <c r="D143">
        <f t="shared" si="21"/>
        <v>77.25</v>
      </c>
      <c r="E143">
        <f t="shared" si="23"/>
        <v>63</v>
      </c>
      <c r="F143">
        <f t="shared" si="24"/>
        <v>55.5</v>
      </c>
      <c r="G143">
        <f t="shared" si="25"/>
        <v>77.25</v>
      </c>
      <c r="H143" s="8">
        <f t="array" ref="H143">MIN(IF(B143:D143&lt;&gt;-99999999999,B143:D143))</f>
        <v>55.5</v>
      </c>
      <c r="I143">
        <f t="shared" si="22"/>
        <v>-99999999999</v>
      </c>
      <c r="K143">
        <f t="shared" si="26"/>
        <v>59120</v>
      </c>
      <c r="L143">
        <f t="shared" si="27"/>
        <v>-99999999999</v>
      </c>
    </row>
    <row r="144" spans="1:12" x14ac:dyDescent="0.2">
      <c r="A144">
        <v>138</v>
      </c>
      <c r="B144">
        <f t="shared" si="21"/>
        <v>62</v>
      </c>
      <c r="C144">
        <f t="shared" si="21"/>
        <v>54</v>
      </c>
      <c r="D144">
        <f t="shared" si="21"/>
        <v>76.5</v>
      </c>
      <c r="E144">
        <f t="shared" si="23"/>
        <v>62</v>
      </c>
      <c r="F144">
        <f t="shared" si="24"/>
        <v>54</v>
      </c>
      <c r="G144">
        <f t="shared" si="25"/>
        <v>76.5</v>
      </c>
      <c r="H144" s="8">
        <f t="array" ref="H144">MIN(IF(B144:D144&lt;&gt;-99999999999,B144:D144))</f>
        <v>54</v>
      </c>
      <c r="I144">
        <f t="shared" si="22"/>
        <v>-99999999999</v>
      </c>
      <c r="K144">
        <f t="shared" si="26"/>
        <v>58980</v>
      </c>
      <c r="L144">
        <f t="shared" si="27"/>
        <v>-99999999999</v>
      </c>
    </row>
    <row r="145" spans="1:12" x14ac:dyDescent="0.2">
      <c r="A145">
        <v>139</v>
      </c>
      <c r="B145">
        <f t="shared" si="21"/>
        <v>61</v>
      </c>
      <c r="C145">
        <f t="shared" si="21"/>
        <v>52.5</v>
      </c>
      <c r="D145">
        <f t="shared" si="21"/>
        <v>75.75</v>
      </c>
      <c r="E145">
        <f t="shared" si="23"/>
        <v>61</v>
      </c>
      <c r="F145">
        <f t="shared" si="24"/>
        <v>52.5</v>
      </c>
      <c r="G145">
        <f t="shared" si="25"/>
        <v>75.75</v>
      </c>
      <c r="H145" s="8">
        <f t="array" ref="H145">MIN(IF(B145:D145&lt;&gt;-99999999999,B145:D145))</f>
        <v>52.5</v>
      </c>
      <c r="I145">
        <f t="shared" si="22"/>
        <v>-99999999999</v>
      </c>
      <c r="K145">
        <f t="shared" si="26"/>
        <v>58840</v>
      </c>
      <c r="L145">
        <f t="shared" si="27"/>
        <v>-99999999999</v>
      </c>
    </row>
    <row r="146" spans="1:12" x14ac:dyDescent="0.2">
      <c r="A146">
        <v>140</v>
      </c>
      <c r="B146">
        <f t="shared" si="21"/>
        <v>60</v>
      </c>
      <c r="C146">
        <f t="shared" si="21"/>
        <v>51</v>
      </c>
      <c r="D146">
        <f t="shared" si="21"/>
        <v>75</v>
      </c>
      <c r="E146">
        <f t="shared" si="23"/>
        <v>60</v>
      </c>
      <c r="F146">
        <f t="shared" si="24"/>
        <v>51</v>
      </c>
      <c r="G146">
        <f t="shared" si="25"/>
        <v>75</v>
      </c>
      <c r="H146" s="8">
        <f t="array" ref="H146">MIN(IF(B146:D146&lt;&gt;-99999999999,B146:D146))</f>
        <v>51</v>
      </c>
      <c r="I146">
        <f t="shared" si="22"/>
        <v>-99999999999</v>
      </c>
      <c r="K146">
        <f t="shared" si="26"/>
        <v>58700</v>
      </c>
      <c r="L146">
        <f t="shared" si="27"/>
        <v>-99999999999</v>
      </c>
    </row>
    <row r="147" spans="1:12" x14ac:dyDescent="0.2">
      <c r="A147">
        <v>141</v>
      </c>
      <c r="B147">
        <f t="shared" ref="B147:D166" si="28">IF(B$2,B$5/B$4-B$3/B$4*$A147,-99999999999)</f>
        <v>59</v>
      </c>
      <c r="C147">
        <f t="shared" si="28"/>
        <v>49.5</v>
      </c>
      <c r="D147">
        <f t="shared" si="28"/>
        <v>74.25</v>
      </c>
      <c r="E147">
        <f t="shared" si="23"/>
        <v>59</v>
      </c>
      <c r="F147">
        <f t="shared" si="24"/>
        <v>49.5</v>
      </c>
      <c r="G147">
        <f t="shared" si="25"/>
        <v>74.25</v>
      </c>
      <c r="H147" s="8">
        <f t="array" ref="H147">MIN(IF(B147:D147&lt;&gt;-99999999999,B147:D147))</f>
        <v>49.5</v>
      </c>
      <c r="I147">
        <f t="shared" si="22"/>
        <v>-99999999999</v>
      </c>
      <c r="K147">
        <f t="shared" si="26"/>
        <v>58560</v>
      </c>
      <c r="L147">
        <f t="shared" si="27"/>
        <v>-99999999999</v>
      </c>
    </row>
    <row r="148" spans="1:12" x14ac:dyDescent="0.2">
      <c r="A148">
        <v>142</v>
      </c>
      <c r="B148">
        <f t="shared" si="28"/>
        <v>58</v>
      </c>
      <c r="C148">
        <f t="shared" si="28"/>
        <v>48</v>
      </c>
      <c r="D148">
        <f t="shared" si="28"/>
        <v>73.5</v>
      </c>
      <c r="E148">
        <f t="shared" si="23"/>
        <v>58</v>
      </c>
      <c r="F148">
        <f t="shared" si="24"/>
        <v>48</v>
      </c>
      <c r="G148">
        <f t="shared" si="25"/>
        <v>73.5</v>
      </c>
      <c r="H148" s="8">
        <f t="array" ref="H148">MIN(IF(B148:D148&lt;&gt;-99999999999,B148:D148))</f>
        <v>48</v>
      </c>
      <c r="I148">
        <f t="shared" si="22"/>
        <v>-99999999999</v>
      </c>
      <c r="K148">
        <f t="shared" si="26"/>
        <v>58420</v>
      </c>
      <c r="L148">
        <f t="shared" si="27"/>
        <v>-99999999999</v>
      </c>
    </row>
    <row r="149" spans="1:12" x14ac:dyDescent="0.2">
      <c r="A149">
        <v>143</v>
      </c>
      <c r="B149">
        <f t="shared" si="28"/>
        <v>57</v>
      </c>
      <c r="C149">
        <f t="shared" si="28"/>
        <v>46.5</v>
      </c>
      <c r="D149">
        <f t="shared" si="28"/>
        <v>72.75</v>
      </c>
      <c r="E149">
        <f t="shared" si="23"/>
        <v>57</v>
      </c>
      <c r="F149">
        <f t="shared" si="24"/>
        <v>46.5</v>
      </c>
      <c r="G149">
        <f t="shared" si="25"/>
        <v>72.75</v>
      </c>
      <c r="H149" s="8">
        <f t="array" ref="H149">MIN(IF(B149:D149&lt;&gt;-99999999999,B149:D149))</f>
        <v>46.5</v>
      </c>
      <c r="I149">
        <f t="shared" si="22"/>
        <v>-99999999999</v>
      </c>
      <c r="K149">
        <f t="shared" si="26"/>
        <v>58280</v>
      </c>
      <c r="L149">
        <f t="shared" si="27"/>
        <v>-99999999999</v>
      </c>
    </row>
    <row r="150" spans="1:12" x14ac:dyDescent="0.2">
      <c r="A150">
        <v>144</v>
      </c>
      <c r="B150">
        <f t="shared" si="28"/>
        <v>56</v>
      </c>
      <c r="C150">
        <f t="shared" si="28"/>
        <v>45</v>
      </c>
      <c r="D150">
        <f t="shared" si="28"/>
        <v>72</v>
      </c>
      <c r="E150">
        <f t="shared" si="23"/>
        <v>56</v>
      </c>
      <c r="F150">
        <f t="shared" si="24"/>
        <v>45</v>
      </c>
      <c r="G150">
        <f t="shared" si="25"/>
        <v>72</v>
      </c>
      <c r="H150" s="8">
        <f t="array" ref="H150">MIN(IF(B150:D150&lt;&gt;-99999999999,B150:D150))</f>
        <v>45</v>
      </c>
      <c r="I150">
        <f t="shared" si="22"/>
        <v>-99999999999</v>
      </c>
      <c r="K150">
        <f t="shared" si="26"/>
        <v>58140</v>
      </c>
      <c r="L150">
        <f t="shared" si="27"/>
        <v>-99999999999</v>
      </c>
    </row>
    <row r="151" spans="1:12" x14ac:dyDescent="0.2">
      <c r="A151">
        <v>145</v>
      </c>
      <c r="B151">
        <f t="shared" si="28"/>
        <v>55</v>
      </c>
      <c r="C151">
        <f t="shared" si="28"/>
        <v>43.5</v>
      </c>
      <c r="D151">
        <f t="shared" si="28"/>
        <v>71.25</v>
      </c>
      <c r="E151">
        <f t="shared" si="23"/>
        <v>55</v>
      </c>
      <c r="F151">
        <f t="shared" si="24"/>
        <v>43.5</v>
      </c>
      <c r="G151">
        <f t="shared" si="25"/>
        <v>71.25</v>
      </c>
      <c r="H151" s="8">
        <f t="array" ref="H151">MIN(IF(B151:D151&lt;&gt;-99999999999,B151:D151))</f>
        <v>43.5</v>
      </c>
      <c r="I151">
        <f t="shared" si="22"/>
        <v>-99999999999</v>
      </c>
      <c r="K151">
        <f t="shared" si="26"/>
        <v>58000</v>
      </c>
      <c r="L151">
        <f t="shared" si="27"/>
        <v>-99999999999</v>
      </c>
    </row>
    <row r="152" spans="1:12" x14ac:dyDescent="0.2">
      <c r="A152">
        <v>146</v>
      </c>
      <c r="B152">
        <f t="shared" si="28"/>
        <v>54</v>
      </c>
      <c r="C152">
        <f t="shared" si="28"/>
        <v>42</v>
      </c>
      <c r="D152">
        <f t="shared" si="28"/>
        <v>70.5</v>
      </c>
      <c r="E152">
        <f t="shared" si="23"/>
        <v>54</v>
      </c>
      <c r="F152">
        <f t="shared" si="24"/>
        <v>42</v>
      </c>
      <c r="G152">
        <f t="shared" si="25"/>
        <v>70.5</v>
      </c>
      <c r="H152" s="8">
        <f t="array" ref="H152">MIN(IF(B152:D152&lt;&gt;-99999999999,B152:D152))</f>
        <v>42</v>
      </c>
      <c r="I152">
        <f t="shared" si="22"/>
        <v>-99999999999</v>
      </c>
      <c r="K152">
        <f t="shared" si="26"/>
        <v>57860</v>
      </c>
      <c r="L152">
        <f t="shared" si="27"/>
        <v>-99999999999</v>
      </c>
    </row>
    <row r="153" spans="1:12" x14ac:dyDescent="0.2">
      <c r="A153">
        <v>147</v>
      </c>
      <c r="B153">
        <f t="shared" si="28"/>
        <v>53</v>
      </c>
      <c r="C153">
        <f t="shared" si="28"/>
        <v>40.5</v>
      </c>
      <c r="D153">
        <f t="shared" si="28"/>
        <v>69.75</v>
      </c>
      <c r="E153">
        <f t="shared" si="23"/>
        <v>53</v>
      </c>
      <c r="F153">
        <f t="shared" si="24"/>
        <v>40.5</v>
      </c>
      <c r="G153">
        <f t="shared" si="25"/>
        <v>69.75</v>
      </c>
      <c r="H153" s="8">
        <f t="array" ref="H153">MIN(IF(B153:D153&lt;&gt;-99999999999,B153:D153))</f>
        <v>40.5</v>
      </c>
      <c r="I153">
        <f t="shared" si="22"/>
        <v>-99999999999</v>
      </c>
      <c r="K153">
        <f t="shared" si="26"/>
        <v>57720</v>
      </c>
      <c r="L153">
        <f t="shared" si="27"/>
        <v>-99999999999</v>
      </c>
    </row>
    <row r="154" spans="1:12" x14ac:dyDescent="0.2">
      <c r="A154">
        <v>148</v>
      </c>
      <c r="B154">
        <f t="shared" si="28"/>
        <v>52</v>
      </c>
      <c r="C154">
        <f t="shared" si="28"/>
        <v>39</v>
      </c>
      <c r="D154">
        <f t="shared" si="28"/>
        <v>69</v>
      </c>
      <c r="E154">
        <f t="shared" si="23"/>
        <v>52</v>
      </c>
      <c r="F154">
        <f t="shared" si="24"/>
        <v>39</v>
      </c>
      <c r="G154">
        <f t="shared" si="25"/>
        <v>69</v>
      </c>
      <c r="H154" s="8">
        <f t="array" ref="H154">MIN(IF(B154:D154&lt;&gt;-99999999999,B154:D154))</f>
        <v>39</v>
      </c>
      <c r="I154">
        <f t="shared" si="22"/>
        <v>-99999999999</v>
      </c>
      <c r="K154">
        <f t="shared" si="26"/>
        <v>57580</v>
      </c>
      <c r="L154">
        <f t="shared" si="27"/>
        <v>-99999999999</v>
      </c>
    </row>
    <row r="155" spans="1:12" x14ac:dyDescent="0.2">
      <c r="A155">
        <v>149</v>
      </c>
      <c r="B155">
        <f t="shared" si="28"/>
        <v>51</v>
      </c>
      <c r="C155">
        <f t="shared" si="28"/>
        <v>37.5</v>
      </c>
      <c r="D155">
        <f t="shared" si="28"/>
        <v>68.25</v>
      </c>
      <c r="E155">
        <f t="shared" si="23"/>
        <v>51</v>
      </c>
      <c r="F155">
        <f t="shared" si="24"/>
        <v>37.5</v>
      </c>
      <c r="G155">
        <f t="shared" si="25"/>
        <v>68.25</v>
      </c>
      <c r="H155" s="8">
        <f t="array" ref="H155">MIN(IF(B155:D155&lt;&gt;-99999999999,B155:D155))</f>
        <v>37.5</v>
      </c>
      <c r="I155">
        <f t="shared" si="22"/>
        <v>-99999999999</v>
      </c>
      <c r="K155">
        <f t="shared" si="26"/>
        <v>57440</v>
      </c>
      <c r="L155">
        <f t="shared" si="27"/>
        <v>-99999999999</v>
      </c>
    </row>
    <row r="156" spans="1:12" x14ac:dyDescent="0.2">
      <c r="A156">
        <v>150</v>
      </c>
      <c r="B156">
        <f t="shared" si="28"/>
        <v>50</v>
      </c>
      <c r="C156">
        <f t="shared" si="28"/>
        <v>36</v>
      </c>
      <c r="D156">
        <f t="shared" si="28"/>
        <v>67.5</v>
      </c>
      <c r="E156">
        <f t="shared" si="23"/>
        <v>50</v>
      </c>
      <c r="F156">
        <f t="shared" si="24"/>
        <v>36</v>
      </c>
      <c r="G156">
        <f t="shared" si="25"/>
        <v>67.5</v>
      </c>
      <c r="H156" s="8">
        <f t="array" ref="H156">MIN(IF(B156:D156&lt;&gt;-99999999999,B156:D156))</f>
        <v>36</v>
      </c>
      <c r="I156">
        <f t="shared" si="22"/>
        <v>-99999999999</v>
      </c>
      <c r="K156">
        <f t="shared" si="26"/>
        <v>57300</v>
      </c>
      <c r="L156">
        <f t="shared" si="27"/>
        <v>-99999999999</v>
      </c>
    </row>
    <row r="157" spans="1:12" x14ac:dyDescent="0.2">
      <c r="A157">
        <v>151</v>
      </c>
      <c r="B157">
        <f t="shared" si="28"/>
        <v>49</v>
      </c>
      <c r="C157">
        <f t="shared" si="28"/>
        <v>34.5</v>
      </c>
      <c r="D157">
        <f t="shared" si="28"/>
        <v>66.75</v>
      </c>
      <c r="E157">
        <f t="shared" si="23"/>
        <v>49</v>
      </c>
      <c r="F157">
        <f t="shared" si="24"/>
        <v>34.5</v>
      </c>
      <c r="G157">
        <f t="shared" si="25"/>
        <v>66.75</v>
      </c>
      <c r="H157" s="8">
        <f t="array" ref="H157">MIN(IF(B157:D157&lt;&gt;-99999999999,B157:D157))</f>
        <v>34.5</v>
      </c>
      <c r="I157">
        <f t="shared" si="22"/>
        <v>-99999999999</v>
      </c>
      <c r="K157">
        <f t="shared" si="26"/>
        <v>57160</v>
      </c>
      <c r="L157">
        <f t="shared" si="27"/>
        <v>-99999999999</v>
      </c>
    </row>
    <row r="158" spans="1:12" x14ac:dyDescent="0.2">
      <c r="A158">
        <v>152</v>
      </c>
      <c r="B158">
        <f t="shared" si="28"/>
        <v>48</v>
      </c>
      <c r="C158">
        <f t="shared" si="28"/>
        <v>33</v>
      </c>
      <c r="D158">
        <f t="shared" si="28"/>
        <v>66</v>
      </c>
      <c r="E158">
        <f t="shared" si="23"/>
        <v>48</v>
      </c>
      <c r="F158">
        <f t="shared" si="24"/>
        <v>33</v>
      </c>
      <c r="G158">
        <f t="shared" si="25"/>
        <v>66</v>
      </c>
      <c r="H158" s="8">
        <f t="array" ref="H158">MIN(IF(B158:D158&lt;&gt;-99999999999,B158:D158))</f>
        <v>33</v>
      </c>
      <c r="I158">
        <f t="shared" si="22"/>
        <v>-99999999999</v>
      </c>
      <c r="K158">
        <f t="shared" si="26"/>
        <v>57020</v>
      </c>
      <c r="L158">
        <f t="shared" si="27"/>
        <v>-99999999999</v>
      </c>
    </row>
    <row r="159" spans="1:12" x14ac:dyDescent="0.2">
      <c r="A159">
        <v>153</v>
      </c>
      <c r="B159">
        <f t="shared" si="28"/>
        <v>47</v>
      </c>
      <c r="C159">
        <f t="shared" si="28"/>
        <v>31.5</v>
      </c>
      <c r="D159">
        <f t="shared" si="28"/>
        <v>65.25</v>
      </c>
      <c r="E159">
        <f t="shared" si="23"/>
        <v>47</v>
      </c>
      <c r="F159">
        <f t="shared" si="24"/>
        <v>31.5</v>
      </c>
      <c r="G159">
        <f t="shared" si="25"/>
        <v>65.25</v>
      </c>
      <c r="H159" s="8">
        <f t="array" ref="H159">MIN(IF(B159:D159&lt;&gt;-99999999999,B159:D159))</f>
        <v>31.5</v>
      </c>
      <c r="I159">
        <f t="shared" si="22"/>
        <v>-99999999999</v>
      </c>
      <c r="K159">
        <f t="shared" si="26"/>
        <v>56880</v>
      </c>
      <c r="L159">
        <f t="shared" si="27"/>
        <v>-99999999999</v>
      </c>
    </row>
    <row r="160" spans="1:12" x14ac:dyDescent="0.2">
      <c r="A160">
        <v>154</v>
      </c>
      <c r="B160">
        <f t="shared" si="28"/>
        <v>46</v>
      </c>
      <c r="C160">
        <f t="shared" si="28"/>
        <v>30</v>
      </c>
      <c r="D160">
        <f t="shared" si="28"/>
        <v>64.5</v>
      </c>
      <c r="E160">
        <f t="shared" si="23"/>
        <v>46</v>
      </c>
      <c r="F160">
        <f t="shared" si="24"/>
        <v>30</v>
      </c>
      <c r="G160">
        <f t="shared" si="25"/>
        <v>64.5</v>
      </c>
      <c r="H160" s="8">
        <f t="array" ref="H160">MIN(IF(B160:D160&lt;&gt;-99999999999,B160:D160))</f>
        <v>30</v>
      </c>
      <c r="I160">
        <f t="shared" si="22"/>
        <v>-99999999999</v>
      </c>
      <c r="K160">
        <f t="shared" si="26"/>
        <v>56740</v>
      </c>
      <c r="L160">
        <f t="shared" si="27"/>
        <v>-99999999999</v>
      </c>
    </row>
    <row r="161" spans="1:12" x14ac:dyDescent="0.2">
      <c r="A161">
        <v>155</v>
      </c>
      <c r="B161">
        <f t="shared" si="28"/>
        <v>45</v>
      </c>
      <c r="C161">
        <f t="shared" si="28"/>
        <v>28.5</v>
      </c>
      <c r="D161">
        <f t="shared" si="28"/>
        <v>63.75</v>
      </c>
      <c r="E161">
        <f t="shared" si="23"/>
        <v>45</v>
      </c>
      <c r="F161">
        <f t="shared" si="24"/>
        <v>28.5</v>
      </c>
      <c r="G161">
        <f t="shared" si="25"/>
        <v>63.75</v>
      </c>
      <c r="H161" s="8">
        <f t="array" ref="H161">MIN(IF(B161:D161&lt;&gt;-99999999999,B161:D161))</f>
        <v>28.5</v>
      </c>
      <c r="I161">
        <f t="shared" si="22"/>
        <v>-99999999999</v>
      </c>
      <c r="K161">
        <f t="shared" si="26"/>
        <v>56600</v>
      </c>
      <c r="L161">
        <f t="shared" si="27"/>
        <v>-99999999999</v>
      </c>
    </row>
    <row r="162" spans="1:12" x14ac:dyDescent="0.2">
      <c r="A162">
        <v>156</v>
      </c>
      <c r="B162">
        <f t="shared" si="28"/>
        <v>44</v>
      </c>
      <c r="C162">
        <f t="shared" si="28"/>
        <v>27</v>
      </c>
      <c r="D162">
        <f t="shared" si="28"/>
        <v>63</v>
      </c>
      <c r="E162">
        <f t="shared" si="23"/>
        <v>44</v>
      </c>
      <c r="F162">
        <f t="shared" si="24"/>
        <v>27</v>
      </c>
      <c r="G162">
        <f t="shared" si="25"/>
        <v>63</v>
      </c>
      <c r="H162" s="8">
        <f t="array" ref="H162">MIN(IF(B162:D162&lt;&gt;-99999999999,B162:D162))</f>
        <v>27</v>
      </c>
      <c r="I162">
        <f t="shared" si="22"/>
        <v>-99999999999</v>
      </c>
      <c r="K162">
        <f t="shared" si="26"/>
        <v>56460</v>
      </c>
      <c r="L162">
        <f t="shared" si="27"/>
        <v>-99999999999</v>
      </c>
    </row>
    <row r="163" spans="1:12" x14ac:dyDescent="0.2">
      <c r="A163">
        <v>157</v>
      </c>
      <c r="B163">
        <f t="shared" si="28"/>
        <v>43</v>
      </c>
      <c r="C163">
        <f t="shared" si="28"/>
        <v>25.5</v>
      </c>
      <c r="D163">
        <f t="shared" si="28"/>
        <v>62.25</v>
      </c>
      <c r="E163">
        <f t="shared" si="23"/>
        <v>43</v>
      </c>
      <c r="F163">
        <f t="shared" si="24"/>
        <v>25.5</v>
      </c>
      <c r="G163">
        <f t="shared" si="25"/>
        <v>62.25</v>
      </c>
      <c r="H163" s="8">
        <f t="array" ref="H163">MIN(IF(B163:D163&lt;&gt;-99999999999,B163:D163))</f>
        <v>25.5</v>
      </c>
      <c r="I163">
        <f t="shared" si="22"/>
        <v>-99999999999</v>
      </c>
      <c r="K163">
        <f t="shared" si="26"/>
        <v>56320</v>
      </c>
      <c r="L163">
        <f t="shared" si="27"/>
        <v>-99999999999</v>
      </c>
    </row>
    <row r="164" spans="1:12" x14ac:dyDescent="0.2">
      <c r="A164">
        <v>158</v>
      </c>
      <c r="B164">
        <f t="shared" si="28"/>
        <v>42</v>
      </c>
      <c r="C164">
        <f t="shared" si="28"/>
        <v>24</v>
      </c>
      <c r="D164">
        <f t="shared" si="28"/>
        <v>61.5</v>
      </c>
      <c r="E164">
        <f t="shared" si="23"/>
        <v>42</v>
      </c>
      <c r="F164">
        <f t="shared" si="24"/>
        <v>24</v>
      </c>
      <c r="G164">
        <f t="shared" si="25"/>
        <v>61.5</v>
      </c>
      <c r="H164" s="8">
        <f t="array" ref="H164">MIN(IF(B164:D164&lt;&gt;-99999999999,B164:D164))</f>
        <v>24</v>
      </c>
      <c r="I164">
        <f t="shared" si="22"/>
        <v>-99999999999</v>
      </c>
      <c r="K164">
        <f t="shared" si="26"/>
        <v>56180</v>
      </c>
      <c r="L164">
        <f t="shared" si="27"/>
        <v>-99999999999</v>
      </c>
    </row>
    <row r="165" spans="1:12" x14ac:dyDescent="0.2">
      <c r="A165">
        <v>159</v>
      </c>
      <c r="B165">
        <f t="shared" si="28"/>
        <v>41</v>
      </c>
      <c r="C165">
        <f t="shared" si="28"/>
        <v>22.5</v>
      </c>
      <c r="D165">
        <f t="shared" si="28"/>
        <v>60.75</v>
      </c>
      <c r="E165">
        <f t="shared" si="23"/>
        <v>41</v>
      </c>
      <c r="F165">
        <f t="shared" si="24"/>
        <v>22.5</v>
      </c>
      <c r="G165">
        <f t="shared" si="25"/>
        <v>60.75</v>
      </c>
      <c r="H165" s="8">
        <f t="array" ref="H165">MIN(IF(B165:D165&lt;&gt;-99999999999,B165:D165))</f>
        <v>22.5</v>
      </c>
      <c r="I165">
        <f t="shared" si="22"/>
        <v>-99999999999</v>
      </c>
      <c r="K165">
        <f t="shared" si="26"/>
        <v>56040</v>
      </c>
      <c r="L165">
        <f t="shared" si="27"/>
        <v>-99999999999</v>
      </c>
    </row>
    <row r="166" spans="1:12" x14ac:dyDescent="0.2">
      <c r="A166">
        <v>160</v>
      </c>
      <c r="B166">
        <f t="shared" si="28"/>
        <v>40</v>
      </c>
      <c r="C166">
        <f t="shared" si="28"/>
        <v>21</v>
      </c>
      <c r="D166">
        <f t="shared" si="28"/>
        <v>60</v>
      </c>
      <c r="E166">
        <f t="shared" si="23"/>
        <v>40</v>
      </c>
      <c r="F166">
        <f t="shared" si="24"/>
        <v>21</v>
      </c>
      <c r="G166">
        <f t="shared" si="25"/>
        <v>60</v>
      </c>
      <c r="H166" s="8">
        <f t="array" ref="H166">MIN(IF(B166:D166&lt;&gt;-99999999999,B166:D166))</f>
        <v>21</v>
      </c>
      <c r="I166">
        <f t="shared" si="22"/>
        <v>-99999999999</v>
      </c>
      <c r="K166">
        <f t="shared" si="26"/>
        <v>55900</v>
      </c>
      <c r="L166">
        <f t="shared" si="27"/>
        <v>-99999999999</v>
      </c>
    </row>
    <row r="167" spans="1:12" x14ac:dyDescent="0.2">
      <c r="A167">
        <v>161</v>
      </c>
      <c r="B167">
        <f t="shared" ref="B167:D186" si="29">IF(B$2,B$5/B$4-B$3/B$4*$A167,-99999999999)</f>
        <v>39</v>
      </c>
      <c r="C167">
        <f t="shared" si="29"/>
        <v>19.5</v>
      </c>
      <c r="D167">
        <f t="shared" si="29"/>
        <v>59.25</v>
      </c>
      <c r="E167">
        <f t="shared" si="23"/>
        <v>39</v>
      </c>
      <c r="F167">
        <f t="shared" si="24"/>
        <v>19.5</v>
      </c>
      <c r="G167">
        <f t="shared" si="25"/>
        <v>59.25</v>
      </c>
      <c r="H167" s="8">
        <f t="array" ref="H167">MIN(IF(B167:D167&lt;&gt;-99999999999,B167:D167))</f>
        <v>19.5</v>
      </c>
      <c r="I167">
        <f t="shared" si="22"/>
        <v>-99999999999</v>
      </c>
      <c r="K167">
        <f t="shared" si="26"/>
        <v>55760</v>
      </c>
      <c r="L167">
        <f t="shared" si="27"/>
        <v>-99999999999</v>
      </c>
    </row>
    <row r="168" spans="1:12" x14ac:dyDescent="0.2">
      <c r="A168">
        <v>162</v>
      </c>
      <c r="B168">
        <f t="shared" si="29"/>
        <v>38</v>
      </c>
      <c r="C168">
        <f t="shared" si="29"/>
        <v>18</v>
      </c>
      <c r="D168">
        <f t="shared" si="29"/>
        <v>58.5</v>
      </c>
      <c r="E168">
        <f t="shared" si="23"/>
        <v>38</v>
      </c>
      <c r="F168">
        <f t="shared" si="24"/>
        <v>18</v>
      </c>
      <c r="G168">
        <f t="shared" si="25"/>
        <v>58.5</v>
      </c>
      <c r="H168" s="8">
        <f t="array" ref="H168">MIN(IF(B168:D168&lt;&gt;-99999999999,B168:D168))</f>
        <v>18</v>
      </c>
      <c r="I168">
        <f t="shared" si="22"/>
        <v>-99999999999</v>
      </c>
      <c r="K168">
        <f t="shared" si="26"/>
        <v>55620</v>
      </c>
      <c r="L168">
        <f t="shared" si="27"/>
        <v>-99999999999</v>
      </c>
    </row>
    <row r="169" spans="1:12" x14ac:dyDescent="0.2">
      <c r="A169">
        <v>163</v>
      </c>
      <c r="B169">
        <f t="shared" si="29"/>
        <v>37</v>
      </c>
      <c r="C169">
        <f t="shared" si="29"/>
        <v>16.5</v>
      </c>
      <c r="D169">
        <f t="shared" si="29"/>
        <v>57.75</v>
      </c>
      <c r="E169">
        <f t="shared" si="23"/>
        <v>37</v>
      </c>
      <c r="F169">
        <f t="shared" si="24"/>
        <v>16.5</v>
      </c>
      <c r="G169">
        <f t="shared" si="25"/>
        <v>57.75</v>
      </c>
      <c r="H169" s="8">
        <f t="array" ref="H169">MIN(IF(B169:D169&lt;&gt;-99999999999,B169:D169))</f>
        <v>16.5</v>
      </c>
      <c r="I169">
        <f t="shared" si="22"/>
        <v>-99999999999</v>
      </c>
      <c r="K169">
        <f t="shared" si="26"/>
        <v>55480</v>
      </c>
      <c r="L169">
        <f t="shared" si="27"/>
        <v>-99999999999</v>
      </c>
    </row>
    <row r="170" spans="1:12" x14ac:dyDescent="0.2">
      <c r="A170">
        <v>164</v>
      </c>
      <c r="B170">
        <f t="shared" si="29"/>
        <v>36</v>
      </c>
      <c r="C170">
        <f t="shared" si="29"/>
        <v>15</v>
      </c>
      <c r="D170">
        <f t="shared" si="29"/>
        <v>57</v>
      </c>
      <c r="E170">
        <f t="shared" si="23"/>
        <v>36</v>
      </c>
      <c r="F170">
        <f t="shared" si="24"/>
        <v>15</v>
      </c>
      <c r="G170">
        <f t="shared" si="25"/>
        <v>57</v>
      </c>
      <c r="H170" s="8">
        <f t="array" ref="H170">MIN(IF(B170:D170&lt;&gt;-99999999999,B170:D170))</f>
        <v>15</v>
      </c>
      <c r="I170">
        <f t="shared" si="22"/>
        <v>-99999999999</v>
      </c>
      <c r="K170">
        <f t="shared" si="26"/>
        <v>55340</v>
      </c>
      <c r="L170">
        <f t="shared" si="27"/>
        <v>-99999999999</v>
      </c>
    </row>
    <row r="171" spans="1:12" x14ac:dyDescent="0.2">
      <c r="A171">
        <v>165</v>
      </c>
      <c r="B171">
        <f t="shared" si="29"/>
        <v>35</v>
      </c>
      <c r="C171">
        <f t="shared" si="29"/>
        <v>13.5</v>
      </c>
      <c r="D171">
        <f t="shared" si="29"/>
        <v>56.25</v>
      </c>
      <c r="E171">
        <f t="shared" si="23"/>
        <v>35</v>
      </c>
      <c r="F171">
        <f t="shared" si="24"/>
        <v>13.5</v>
      </c>
      <c r="G171">
        <f t="shared" si="25"/>
        <v>56.25</v>
      </c>
      <c r="H171" s="8">
        <f t="array" ref="H171">MIN(IF(B171:D171&lt;&gt;-99999999999,B171:D171))</f>
        <v>13.5</v>
      </c>
      <c r="I171">
        <f t="shared" si="22"/>
        <v>-99999999999</v>
      </c>
      <c r="K171">
        <f t="shared" si="26"/>
        <v>55200</v>
      </c>
      <c r="L171">
        <f t="shared" si="27"/>
        <v>-99999999999</v>
      </c>
    </row>
    <row r="172" spans="1:12" x14ac:dyDescent="0.2">
      <c r="A172">
        <v>166</v>
      </c>
      <c r="B172">
        <f t="shared" si="29"/>
        <v>34</v>
      </c>
      <c r="C172">
        <f t="shared" si="29"/>
        <v>12</v>
      </c>
      <c r="D172">
        <f t="shared" si="29"/>
        <v>55.5</v>
      </c>
      <c r="E172">
        <f t="shared" si="23"/>
        <v>34</v>
      </c>
      <c r="F172">
        <f t="shared" si="24"/>
        <v>12</v>
      </c>
      <c r="G172">
        <f t="shared" si="25"/>
        <v>55.5</v>
      </c>
      <c r="H172" s="8">
        <f t="array" ref="H172">MIN(IF(B172:D172&lt;&gt;-99999999999,B172:D172))</f>
        <v>12</v>
      </c>
      <c r="I172">
        <f t="shared" si="22"/>
        <v>-99999999999</v>
      </c>
      <c r="K172">
        <f t="shared" si="26"/>
        <v>55060</v>
      </c>
      <c r="L172">
        <f t="shared" si="27"/>
        <v>-99999999999</v>
      </c>
    </row>
    <row r="173" spans="1:12" x14ac:dyDescent="0.2">
      <c r="A173">
        <v>167</v>
      </c>
      <c r="B173">
        <f t="shared" si="29"/>
        <v>33</v>
      </c>
      <c r="C173">
        <f t="shared" si="29"/>
        <v>10.5</v>
      </c>
      <c r="D173">
        <f t="shared" si="29"/>
        <v>54.75</v>
      </c>
      <c r="E173">
        <f t="shared" si="23"/>
        <v>33</v>
      </c>
      <c r="F173">
        <f t="shared" si="24"/>
        <v>10.5</v>
      </c>
      <c r="G173">
        <f t="shared" si="25"/>
        <v>54.75</v>
      </c>
      <c r="H173" s="8">
        <f t="array" ref="H173">MIN(IF(B173:D173&lt;&gt;-99999999999,B173:D173))</f>
        <v>10.5</v>
      </c>
      <c r="I173">
        <f t="shared" si="22"/>
        <v>-99999999999</v>
      </c>
      <c r="K173">
        <f t="shared" si="26"/>
        <v>54920</v>
      </c>
      <c r="L173">
        <f t="shared" si="27"/>
        <v>-99999999999</v>
      </c>
    </row>
    <row r="174" spans="1:12" x14ac:dyDescent="0.2">
      <c r="A174">
        <v>168</v>
      </c>
      <c r="B174">
        <f t="shared" si="29"/>
        <v>32</v>
      </c>
      <c r="C174">
        <f t="shared" si="29"/>
        <v>9</v>
      </c>
      <c r="D174">
        <f t="shared" si="29"/>
        <v>54</v>
      </c>
      <c r="E174">
        <f t="shared" si="23"/>
        <v>32</v>
      </c>
      <c r="F174">
        <f t="shared" si="24"/>
        <v>9</v>
      </c>
      <c r="G174">
        <f t="shared" si="25"/>
        <v>54</v>
      </c>
      <c r="H174" s="8">
        <f t="array" ref="H174">MIN(IF(B174:D174&lt;&gt;-99999999999,B174:D174))</f>
        <v>9</v>
      </c>
      <c r="I174">
        <f t="shared" si="22"/>
        <v>-99999999999</v>
      </c>
      <c r="K174">
        <f t="shared" si="26"/>
        <v>54780</v>
      </c>
      <c r="L174">
        <f t="shared" si="27"/>
        <v>-99999999999</v>
      </c>
    </row>
    <row r="175" spans="1:12" x14ac:dyDescent="0.2">
      <c r="A175">
        <v>169</v>
      </c>
      <c r="B175">
        <f t="shared" si="29"/>
        <v>31</v>
      </c>
      <c r="C175">
        <f t="shared" si="29"/>
        <v>7.5</v>
      </c>
      <c r="D175">
        <f t="shared" si="29"/>
        <v>53.25</v>
      </c>
      <c r="E175">
        <f t="shared" si="23"/>
        <v>31</v>
      </c>
      <c r="F175">
        <f t="shared" si="24"/>
        <v>7.5</v>
      </c>
      <c r="G175">
        <f t="shared" si="25"/>
        <v>53.25</v>
      </c>
      <c r="H175" s="8">
        <f t="array" ref="H175">MIN(IF(B175:D175&lt;&gt;-99999999999,B175:D175))</f>
        <v>7.5</v>
      </c>
      <c r="I175">
        <f t="shared" si="22"/>
        <v>-99999999999</v>
      </c>
      <c r="K175">
        <f t="shared" si="26"/>
        <v>54640</v>
      </c>
      <c r="L175">
        <f t="shared" si="27"/>
        <v>-99999999999</v>
      </c>
    </row>
    <row r="176" spans="1:12" x14ac:dyDescent="0.2">
      <c r="A176">
        <v>170</v>
      </c>
      <c r="B176">
        <f t="shared" si="29"/>
        <v>30</v>
      </c>
      <c r="C176">
        <f t="shared" si="29"/>
        <v>6</v>
      </c>
      <c r="D176">
        <f t="shared" si="29"/>
        <v>52.5</v>
      </c>
      <c r="E176">
        <f t="shared" si="23"/>
        <v>30</v>
      </c>
      <c r="F176">
        <f t="shared" si="24"/>
        <v>6</v>
      </c>
      <c r="G176">
        <f t="shared" si="25"/>
        <v>52.5</v>
      </c>
      <c r="H176" s="8">
        <f t="array" ref="H176">MIN(IF(B176:D176&lt;&gt;-99999999999,B176:D176))</f>
        <v>6</v>
      </c>
      <c r="I176">
        <f t="shared" si="22"/>
        <v>-99999999999</v>
      </c>
      <c r="K176">
        <f t="shared" si="26"/>
        <v>54500</v>
      </c>
      <c r="L176">
        <f t="shared" si="27"/>
        <v>-99999999999</v>
      </c>
    </row>
    <row r="177" spans="1:12" x14ac:dyDescent="0.2">
      <c r="A177">
        <v>171</v>
      </c>
      <c r="B177">
        <f t="shared" si="29"/>
        <v>29</v>
      </c>
      <c r="C177">
        <f t="shared" si="29"/>
        <v>4.5</v>
      </c>
      <c r="D177">
        <f t="shared" si="29"/>
        <v>51.75</v>
      </c>
      <c r="E177">
        <f t="shared" si="23"/>
        <v>29</v>
      </c>
      <c r="F177">
        <f t="shared" si="24"/>
        <v>4.5</v>
      </c>
      <c r="G177">
        <f t="shared" si="25"/>
        <v>51.75</v>
      </c>
      <c r="H177" s="8">
        <f t="array" ref="H177">MIN(IF(B177:D177&lt;&gt;-99999999999,B177:D177))</f>
        <v>4.5</v>
      </c>
      <c r="I177">
        <f t="shared" si="22"/>
        <v>-99999999999</v>
      </c>
      <c r="K177">
        <f t="shared" si="26"/>
        <v>54360</v>
      </c>
      <c r="L177">
        <f t="shared" si="27"/>
        <v>-99999999999</v>
      </c>
    </row>
    <row r="178" spans="1:12" x14ac:dyDescent="0.2">
      <c r="A178">
        <v>172</v>
      </c>
      <c r="B178">
        <f t="shared" si="29"/>
        <v>28</v>
      </c>
      <c r="C178">
        <f t="shared" si="29"/>
        <v>3</v>
      </c>
      <c r="D178">
        <f t="shared" si="29"/>
        <v>51</v>
      </c>
      <c r="E178">
        <f t="shared" si="23"/>
        <v>28</v>
      </c>
      <c r="F178">
        <f t="shared" si="24"/>
        <v>3</v>
      </c>
      <c r="G178">
        <f t="shared" si="25"/>
        <v>51</v>
      </c>
      <c r="H178" s="8">
        <f t="array" ref="H178">MIN(IF(B178:D178&lt;&gt;-99999999999,B178:D178))</f>
        <v>3</v>
      </c>
      <c r="I178">
        <f t="shared" si="22"/>
        <v>-99999999999</v>
      </c>
      <c r="K178">
        <f t="shared" si="26"/>
        <v>54220</v>
      </c>
      <c r="L178">
        <f t="shared" si="27"/>
        <v>-99999999999</v>
      </c>
    </row>
    <row r="179" spans="1:12" x14ac:dyDescent="0.2">
      <c r="A179">
        <v>173</v>
      </c>
      <c r="B179">
        <f t="shared" si="29"/>
        <v>27</v>
      </c>
      <c r="C179">
        <f t="shared" si="29"/>
        <v>1.5</v>
      </c>
      <c r="D179">
        <f t="shared" si="29"/>
        <v>50.25</v>
      </c>
      <c r="E179">
        <f t="shared" si="23"/>
        <v>27</v>
      </c>
      <c r="F179">
        <f t="shared" si="24"/>
        <v>1.5</v>
      </c>
      <c r="G179">
        <f t="shared" si="25"/>
        <v>50.25</v>
      </c>
      <c r="H179" s="8">
        <f t="array" ref="H179">MIN(IF(B179:D179&lt;&gt;-99999999999,B179:D179))</f>
        <v>1.5</v>
      </c>
      <c r="I179">
        <f t="shared" si="22"/>
        <v>-99999999999</v>
      </c>
      <c r="K179">
        <f t="shared" si="26"/>
        <v>54080</v>
      </c>
      <c r="L179">
        <f t="shared" si="27"/>
        <v>-99999999999</v>
      </c>
    </row>
    <row r="180" spans="1:12" x14ac:dyDescent="0.2">
      <c r="A180">
        <v>174</v>
      </c>
      <c r="B180">
        <f t="shared" si="29"/>
        <v>26</v>
      </c>
      <c r="C180">
        <f t="shared" si="29"/>
        <v>0</v>
      </c>
      <c r="D180">
        <f t="shared" si="29"/>
        <v>49.5</v>
      </c>
      <c r="E180">
        <f t="shared" si="23"/>
        <v>26</v>
      </c>
      <c r="F180">
        <f t="shared" si="24"/>
        <v>0</v>
      </c>
      <c r="G180">
        <f t="shared" si="25"/>
        <v>49.5</v>
      </c>
      <c r="H180" s="8">
        <f t="array" ref="H180">MIN(IF(B180:D180&lt;&gt;-99999999999,B180:D180))</f>
        <v>0</v>
      </c>
      <c r="I180">
        <f t="shared" si="22"/>
        <v>-99999999999</v>
      </c>
      <c r="K180">
        <f t="shared" si="26"/>
        <v>53940</v>
      </c>
      <c r="L180">
        <f t="shared" si="27"/>
        <v>-99999999999</v>
      </c>
    </row>
    <row r="181" spans="1:12" x14ac:dyDescent="0.2">
      <c r="A181">
        <v>175</v>
      </c>
      <c r="B181">
        <f t="shared" si="29"/>
        <v>25</v>
      </c>
      <c r="C181">
        <f t="shared" si="29"/>
        <v>-1.5</v>
      </c>
      <c r="D181">
        <f t="shared" si="29"/>
        <v>48.75</v>
      </c>
      <c r="E181">
        <f t="shared" si="23"/>
        <v>25</v>
      </c>
      <c r="F181">
        <f t="shared" si="24"/>
        <v>-1.5</v>
      </c>
      <c r="G181">
        <f t="shared" si="25"/>
        <v>48.75</v>
      </c>
      <c r="H181" s="8">
        <f t="array" ref="H181">MIN(IF(B181:D181&lt;&gt;-99999999999,B181:D181))</f>
        <v>-1.5</v>
      </c>
      <c r="I181">
        <f t="shared" si="22"/>
        <v>-99999999999</v>
      </c>
      <c r="K181">
        <f t="shared" si="26"/>
        <v>0</v>
      </c>
      <c r="L181">
        <f t="shared" si="27"/>
        <v>-99999999999</v>
      </c>
    </row>
    <row r="182" spans="1:12" x14ac:dyDescent="0.2">
      <c r="A182">
        <v>176</v>
      </c>
      <c r="B182">
        <f t="shared" si="29"/>
        <v>24</v>
      </c>
      <c r="C182">
        <f t="shared" si="29"/>
        <v>-3</v>
      </c>
      <c r="D182">
        <f t="shared" si="29"/>
        <v>48</v>
      </c>
      <c r="E182">
        <f t="shared" si="23"/>
        <v>24</v>
      </c>
      <c r="F182">
        <f t="shared" si="24"/>
        <v>-3</v>
      </c>
      <c r="G182">
        <f t="shared" si="25"/>
        <v>48</v>
      </c>
      <c r="H182" s="8">
        <f t="array" ref="H182">MIN(IF(B182:D182&lt;&gt;-99999999999,B182:D182))</f>
        <v>-3</v>
      </c>
      <c r="I182">
        <f t="shared" si="22"/>
        <v>-99999999999</v>
      </c>
      <c r="K182">
        <f t="shared" si="26"/>
        <v>0</v>
      </c>
      <c r="L182">
        <f t="shared" si="27"/>
        <v>-99999999999</v>
      </c>
    </row>
    <row r="183" spans="1:12" x14ac:dyDescent="0.2">
      <c r="A183">
        <v>177</v>
      </c>
      <c r="B183">
        <f t="shared" si="29"/>
        <v>23</v>
      </c>
      <c r="C183">
        <f t="shared" si="29"/>
        <v>-4.5</v>
      </c>
      <c r="D183">
        <f t="shared" si="29"/>
        <v>47.25</v>
      </c>
      <c r="E183">
        <f t="shared" si="23"/>
        <v>23</v>
      </c>
      <c r="F183">
        <f t="shared" si="24"/>
        <v>-4.5</v>
      </c>
      <c r="G183">
        <f t="shared" si="25"/>
        <v>47.25</v>
      </c>
      <c r="H183" s="8">
        <f t="array" ref="H183">MIN(IF(B183:D183&lt;&gt;-99999999999,B183:D183))</f>
        <v>-4.5</v>
      </c>
      <c r="I183">
        <f t="shared" si="22"/>
        <v>-99999999999</v>
      </c>
      <c r="K183">
        <f t="shared" si="26"/>
        <v>0</v>
      </c>
      <c r="L183">
        <f t="shared" si="27"/>
        <v>-99999999999</v>
      </c>
    </row>
    <row r="184" spans="1:12" x14ac:dyDescent="0.2">
      <c r="A184">
        <v>178</v>
      </c>
      <c r="B184">
        <f t="shared" si="29"/>
        <v>22</v>
      </c>
      <c r="C184">
        <f t="shared" si="29"/>
        <v>-6</v>
      </c>
      <c r="D184">
        <f t="shared" si="29"/>
        <v>46.5</v>
      </c>
      <c r="E184">
        <f t="shared" si="23"/>
        <v>22</v>
      </c>
      <c r="F184">
        <f t="shared" si="24"/>
        <v>-6</v>
      </c>
      <c r="G184">
        <f t="shared" si="25"/>
        <v>46.5</v>
      </c>
      <c r="H184" s="8">
        <f t="array" ref="H184">MIN(IF(B184:D184&lt;&gt;-99999999999,B184:D184))</f>
        <v>-6</v>
      </c>
      <c r="I184">
        <f t="shared" si="22"/>
        <v>-99999999999</v>
      </c>
      <c r="K184">
        <f t="shared" si="26"/>
        <v>0</v>
      </c>
      <c r="L184">
        <f t="shared" si="27"/>
        <v>-99999999999</v>
      </c>
    </row>
    <row r="185" spans="1:12" x14ac:dyDescent="0.2">
      <c r="A185">
        <v>179</v>
      </c>
      <c r="B185">
        <f t="shared" si="29"/>
        <v>21</v>
      </c>
      <c r="C185">
        <f t="shared" si="29"/>
        <v>-7.5</v>
      </c>
      <c r="D185">
        <f t="shared" si="29"/>
        <v>45.75</v>
      </c>
      <c r="E185">
        <f t="shared" si="23"/>
        <v>21</v>
      </c>
      <c r="F185">
        <f t="shared" si="24"/>
        <v>-7.5</v>
      </c>
      <c r="G185">
        <f t="shared" si="25"/>
        <v>45.75</v>
      </c>
      <c r="H185" s="8">
        <f t="array" ref="H185">MIN(IF(B185:D185&lt;&gt;-99999999999,B185:D185))</f>
        <v>-7.5</v>
      </c>
      <c r="I185">
        <f t="shared" si="22"/>
        <v>-99999999999</v>
      </c>
      <c r="K185">
        <f t="shared" si="26"/>
        <v>0</v>
      </c>
      <c r="L185">
        <f t="shared" si="27"/>
        <v>-99999999999</v>
      </c>
    </row>
    <row r="186" spans="1:12" x14ac:dyDescent="0.2">
      <c r="A186">
        <v>180</v>
      </c>
      <c r="B186">
        <f t="shared" si="29"/>
        <v>20</v>
      </c>
      <c r="C186">
        <f t="shared" si="29"/>
        <v>-9</v>
      </c>
      <c r="D186">
        <f t="shared" si="29"/>
        <v>45</v>
      </c>
      <c r="E186">
        <f t="shared" si="23"/>
        <v>20</v>
      </c>
      <c r="F186">
        <f t="shared" si="24"/>
        <v>-9</v>
      </c>
      <c r="G186">
        <f t="shared" si="25"/>
        <v>45</v>
      </c>
      <c r="H186" s="8">
        <f t="array" ref="H186">MIN(IF(B186:D186&lt;&gt;-99999999999,B186:D186))</f>
        <v>-9</v>
      </c>
      <c r="I186">
        <f t="shared" si="22"/>
        <v>-99999999999</v>
      </c>
      <c r="K186">
        <f t="shared" si="26"/>
        <v>0</v>
      </c>
      <c r="L186">
        <f t="shared" si="27"/>
        <v>-99999999999</v>
      </c>
    </row>
    <row r="187" spans="1:12" x14ac:dyDescent="0.2">
      <c r="A187">
        <v>181</v>
      </c>
      <c r="B187">
        <f t="shared" ref="B187:D206" si="30">IF(B$2,B$5/B$4-B$3/B$4*$A187,-99999999999)</f>
        <v>19</v>
      </c>
      <c r="C187">
        <f t="shared" si="30"/>
        <v>-10.5</v>
      </c>
      <c r="D187">
        <f t="shared" si="30"/>
        <v>44.25</v>
      </c>
      <c r="E187">
        <f t="shared" si="23"/>
        <v>19</v>
      </c>
      <c r="F187">
        <f t="shared" si="24"/>
        <v>-10.5</v>
      </c>
      <c r="G187">
        <f t="shared" si="25"/>
        <v>44.25</v>
      </c>
      <c r="H187" s="8">
        <f t="array" ref="H187">MIN(IF(B187:D187&lt;&gt;-99999999999,B187:D187))</f>
        <v>-10.5</v>
      </c>
      <c r="I187">
        <f t="shared" si="22"/>
        <v>-99999999999</v>
      </c>
      <c r="K187">
        <f t="shared" si="26"/>
        <v>0</v>
      </c>
      <c r="L187">
        <f t="shared" si="27"/>
        <v>-99999999999</v>
      </c>
    </row>
    <row r="188" spans="1:12" x14ac:dyDescent="0.2">
      <c r="A188">
        <v>182</v>
      </c>
      <c r="B188">
        <f t="shared" si="30"/>
        <v>18</v>
      </c>
      <c r="C188">
        <f t="shared" si="30"/>
        <v>-12</v>
      </c>
      <c r="D188">
        <f t="shared" si="30"/>
        <v>43.5</v>
      </c>
      <c r="E188">
        <f t="shared" si="23"/>
        <v>18</v>
      </c>
      <c r="F188">
        <f t="shared" si="24"/>
        <v>-12</v>
      </c>
      <c r="G188">
        <f t="shared" si="25"/>
        <v>43.5</v>
      </c>
      <c r="H188" s="8">
        <f t="array" ref="H188">MIN(IF(B188:D188&lt;&gt;-99999999999,B188:D188))</f>
        <v>-12</v>
      </c>
      <c r="I188">
        <f t="shared" si="22"/>
        <v>-99999999999</v>
      </c>
      <c r="K188">
        <f t="shared" si="26"/>
        <v>0</v>
      </c>
      <c r="L188">
        <f t="shared" si="27"/>
        <v>-99999999999</v>
      </c>
    </row>
    <row r="189" spans="1:12" x14ac:dyDescent="0.2">
      <c r="A189">
        <v>183</v>
      </c>
      <c r="B189">
        <f t="shared" si="30"/>
        <v>17</v>
      </c>
      <c r="C189">
        <f t="shared" si="30"/>
        <v>-13.5</v>
      </c>
      <c r="D189">
        <f t="shared" si="30"/>
        <v>42.75</v>
      </c>
      <c r="E189">
        <f t="shared" si="23"/>
        <v>17</v>
      </c>
      <c r="F189">
        <f t="shared" si="24"/>
        <v>-13.5</v>
      </c>
      <c r="G189">
        <f t="shared" si="25"/>
        <v>42.75</v>
      </c>
      <c r="H189" s="8">
        <f t="array" ref="H189">MIN(IF(B189:D189&lt;&gt;-99999999999,B189:D189))</f>
        <v>-13.5</v>
      </c>
      <c r="I189">
        <f t="shared" si="22"/>
        <v>-99999999999</v>
      </c>
      <c r="K189">
        <f t="shared" si="26"/>
        <v>0</v>
      </c>
      <c r="L189">
        <f t="shared" si="27"/>
        <v>-99999999999</v>
      </c>
    </row>
    <row r="190" spans="1:12" x14ac:dyDescent="0.2">
      <c r="A190">
        <v>184</v>
      </c>
      <c r="B190">
        <f t="shared" si="30"/>
        <v>16</v>
      </c>
      <c r="C190">
        <f t="shared" si="30"/>
        <v>-15</v>
      </c>
      <c r="D190">
        <f t="shared" si="30"/>
        <v>42</v>
      </c>
      <c r="E190">
        <f t="shared" si="23"/>
        <v>16</v>
      </c>
      <c r="F190">
        <f t="shared" si="24"/>
        <v>-15</v>
      </c>
      <c r="G190">
        <f t="shared" si="25"/>
        <v>42</v>
      </c>
      <c r="H190" s="8">
        <f t="array" ref="H190">MIN(IF(B190:D190&lt;&gt;-99999999999,B190:D190))</f>
        <v>-15</v>
      </c>
      <c r="I190">
        <f t="shared" si="22"/>
        <v>-99999999999</v>
      </c>
      <c r="K190">
        <f t="shared" si="26"/>
        <v>0</v>
      </c>
      <c r="L190">
        <f t="shared" si="27"/>
        <v>-99999999999</v>
      </c>
    </row>
    <row r="191" spans="1:12" x14ac:dyDescent="0.2">
      <c r="A191">
        <v>185</v>
      </c>
      <c r="B191">
        <f t="shared" si="30"/>
        <v>15</v>
      </c>
      <c r="C191">
        <f t="shared" si="30"/>
        <v>-16.5</v>
      </c>
      <c r="D191">
        <f t="shared" si="30"/>
        <v>41.25</v>
      </c>
      <c r="E191">
        <f t="shared" si="23"/>
        <v>15</v>
      </c>
      <c r="F191">
        <f t="shared" si="24"/>
        <v>-16.5</v>
      </c>
      <c r="G191">
        <f t="shared" si="25"/>
        <v>41.25</v>
      </c>
      <c r="H191" s="8">
        <f t="array" ref="H191">MIN(IF(B191:D191&lt;&gt;-99999999999,B191:D191))</f>
        <v>-16.5</v>
      </c>
      <c r="I191">
        <f t="shared" si="22"/>
        <v>-99999999999</v>
      </c>
      <c r="K191">
        <f t="shared" si="26"/>
        <v>0</v>
      </c>
      <c r="L191">
        <f t="shared" si="27"/>
        <v>-99999999999</v>
      </c>
    </row>
    <row r="192" spans="1:12" x14ac:dyDescent="0.2">
      <c r="A192">
        <v>186</v>
      </c>
      <c r="B192">
        <f t="shared" si="30"/>
        <v>14</v>
      </c>
      <c r="C192">
        <f t="shared" si="30"/>
        <v>-18</v>
      </c>
      <c r="D192">
        <f t="shared" si="30"/>
        <v>40.5</v>
      </c>
      <c r="E192">
        <f t="shared" si="23"/>
        <v>14</v>
      </c>
      <c r="F192">
        <f t="shared" si="24"/>
        <v>-18</v>
      </c>
      <c r="G192">
        <f t="shared" si="25"/>
        <v>40.5</v>
      </c>
      <c r="H192" s="8">
        <f t="array" ref="H192">MIN(IF(B192:D192&lt;&gt;-99999999999,B192:D192))</f>
        <v>-18</v>
      </c>
      <c r="I192">
        <f t="shared" si="22"/>
        <v>-99999999999</v>
      </c>
      <c r="K192">
        <f t="shared" si="26"/>
        <v>0</v>
      </c>
      <c r="L192">
        <f t="shared" si="27"/>
        <v>-99999999999</v>
      </c>
    </row>
    <row r="193" spans="1:12" x14ac:dyDescent="0.2">
      <c r="A193">
        <v>187</v>
      </c>
      <c r="B193">
        <f t="shared" si="30"/>
        <v>13</v>
      </c>
      <c r="C193">
        <f t="shared" si="30"/>
        <v>-19.5</v>
      </c>
      <c r="D193">
        <f t="shared" si="30"/>
        <v>39.75</v>
      </c>
      <c r="E193">
        <f t="shared" si="23"/>
        <v>13</v>
      </c>
      <c r="F193">
        <f t="shared" si="24"/>
        <v>-19.5</v>
      </c>
      <c r="G193">
        <f t="shared" si="25"/>
        <v>39.75</v>
      </c>
      <c r="H193" s="8">
        <f t="array" ref="H193">MIN(IF(B193:D193&lt;&gt;-99999999999,B193:D193))</f>
        <v>-19.5</v>
      </c>
      <c r="I193">
        <f t="shared" si="22"/>
        <v>-99999999999</v>
      </c>
      <c r="K193">
        <f t="shared" si="26"/>
        <v>0</v>
      </c>
      <c r="L193">
        <f t="shared" si="27"/>
        <v>-99999999999</v>
      </c>
    </row>
    <row r="194" spans="1:12" x14ac:dyDescent="0.2">
      <c r="A194">
        <v>188</v>
      </c>
      <c r="B194">
        <f t="shared" si="30"/>
        <v>12</v>
      </c>
      <c r="C194">
        <f t="shared" si="30"/>
        <v>-21</v>
      </c>
      <c r="D194">
        <f t="shared" si="30"/>
        <v>39</v>
      </c>
      <c r="E194">
        <f t="shared" si="23"/>
        <v>12</v>
      </c>
      <c r="F194">
        <f t="shared" si="24"/>
        <v>-21</v>
      </c>
      <c r="G194">
        <f t="shared" si="25"/>
        <v>39</v>
      </c>
      <c r="H194" s="8">
        <f t="array" ref="H194">MIN(IF(B194:D194&lt;&gt;-99999999999,B194:D194))</f>
        <v>-21</v>
      </c>
      <c r="I194">
        <f t="shared" si="22"/>
        <v>-99999999999</v>
      </c>
      <c r="K194">
        <f t="shared" si="26"/>
        <v>0</v>
      </c>
      <c r="L194">
        <f t="shared" si="27"/>
        <v>-99999999999</v>
      </c>
    </row>
    <row r="195" spans="1:12" x14ac:dyDescent="0.2">
      <c r="A195">
        <v>189</v>
      </c>
      <c r="B195">
        <f t="shared" si="30"/>
        <v>11</v>
      </c>
      <c r="C195">
        <f t="shared" si="30"/>
        <v>-22.5</v>
      </c>
      <c r="D195">
        <f t="shared" si="30"/>
        <v>38.25</v>
      </c>
      <c r="E195">
        <f t="shared" si="23"/>
        <v>11</v>
      </c>
      <c r="F195">
        <f t="shared" si="24"/>
        <v>-22.5</v>
      </c>
      <c r="G195">
        <f t="shared" si="25"/>
        <v>38.25</v>
      </c>
      <c r="H195" s="8">
        <f t="array" ref="H195">MIN(IF(B195:D195&lt;&gt;-99999999999,B195:D195))</f>
        <v>-22.5</v>
      </c>
      <c r="I195">
        <f t="shared" si="22"/>
        <v>-99999999999</v>
      </c>
      <c r="K195">
        <f t="shared" si="26"/>
        <v>0</v>
      </c>
      <c r="L195">
        <f t="shared" si="27"/>
        <v>-99999999999</v>
      </c>
    </row>
    <row r="196" spans="1:12" x14ac:dyDescent="0.2">
      <c r="A196">
        <v>190</v>
      </c>
      <c r="B196">
        <f t="shared" si="30"/>
        <v>10</v>
      </c>
      <c r="C196">
        <f t="shared" si="30"/>
        <v>-24</v>
      </c>
      <c r="D196">
        <f t="shared" si="30"/>
        <v>37.5</v>
      </c>
      <c r="E196">
        <f t="shared" si="23"/>
        <v>10</v>
      </c>
      <c r="F196">
        <f t="shared" si="24"/>
        <v>-24</v>
      </c>
      <c r="G196">
        <f t="shared" si="25"/>
        <v>37.5</v>
      </c>
      <c r="H196" s="8">
        <f t="array" ref="H196">MIN(IF(B196:D196&lt;&gt;-99999999999,B196:D196))</f>
        <v>-24</v>
      </c>
      <c r="I196">
        <f t="shared" si="22"/>
        <v>-99999999999</v>
      </c>
      <c r="K196">
        <f t="shared" si="26"/>
        <v>0</v>
      </c>
      <c r="L196">
        <f t="shared" si="27"/>
        <v>-99999999999</v>
      </c>
    </row>
    <row r="197" spans="1:12" x14ac:dyDescent="0.2">
      <c r="A197">
        <v>191</v>
      </c>
      <c r="B197">
        <f t="shared" si="30"/>
        <v>9</v>
      </c>
      <c r="C197">
        <f t="shared" si="30"/>
        <v>-25.5</v>
      </c>
      <c r="D197">
        <f t="shared" si="30"/>
        <v>36.75</v>
      </c>
      <c r="E197">
        <f t="shared" si="23"/>
        <v>9</v>
      </c>
      <c r="F197">
        <f t="shared" si="24"/>
        <v>-25.5</v>
      </c>
      <c r="G197">
        <f t="shared" si="25"/>
        <v>36.75</v>
      </c>
      <c r="H197" s="8">
        <f t="array" ref="H197">MIN(IF(B197:D197&lt;&gt;-99999999999,B197:D197))</f>
        <v>-25.5</v>
      </c>
      <c r="I197">
        <f t="shared" si="22"/>
        <v>-99999999999</v>
      </c>
      <c r="K197">
        <f t="shared" si="26"/>
        <v>0</v>
      </c>
      <c r="L197">
        <f t="shared" si="27"/>
        <v>-99999999999</v>
      </c>
    </row>
    <row r="198" spans="1:12" x14ac:dyDescent="0.2">
      <c r="A198">
        <v>192</v>
      </c>
      <c r="B198">
        <f t="shared" si="30"/>
        <v>8</v>
      </c>
      <c r="C198">
        <f t="shared" si="30"/>
        <v>-27</v>
      </c>
      <c r="D198">
        <f t="shared" si="30"/>
        <v>36</v>
      </c>
      <c r="E198">
        <f t="shared" si="23"/>
        <v>8</v>
      </c>
      <c r="F198">
        <f t="shared" si="24"/>
        <v>-27</v>
      </c>
      <c r="G198">
        <f t="shared" si="25"/>
        <v>36</v>
      </c>
      <c r="H198" s="8">
        <f t="array" ref="H198">MIN(IF(B198:D198&lt;&gt;-99999999999,B198:D198))</f>
        <v>-27</v>
      </c>
      <c r="I198">
        <f t="shared" ref="I198:I254" si="31">IF(I$2,I$5/I$4-I$3/I$4*$A198,-99999999999)</f>
        <v>-99999999999</v>
      </c>
      <c r="K198">
        <f t="shared" si="26"/>
        <v>0</v>
      </c>
      <c r="L198">
        <f t="shared" si="27"/>
        <v>-99999999999</v>
      </c>
    </row>
    <row r="199" spans="1:12" x14ac:dyDescent="0.2">
      <c r="A199">
        <v>193</v>
      </c>
      <c r="B199">
        <f t="shared" si="30"/>
        <v>7</v>
      </c>
      <c r="C199">
        <f t="shared" si="30"/>
        <v>-28.5</v>
      </c>
      <c r="D199">
        <f t="shared" si="30"/>
        <v>35.25</v>
      </c>
      <c r="E199">
        <f t="shared" ref="E199:E247" si="32">IF(E$2,B199,-99999999999)</f>
        <v>7</v>
      </c>
      <c r="F199">
        <f t="shared" ref="F199:F247" si="33">IF(F$2,C199,-99999999999)</f>
        <v>-28.5</v>
      </c>
      <c r="G199">
        <f t="shared" ref="G199:G247" si="34">IF(G$2,D199,-99999999999)</f>
        <v>35.25</v>
      </c>
      <c r="H199" s="8">
        <f t="array" ref="H199">MIN(IF(B199:D199&lt;&gt;-99999999999,B199:D199))</f>
        <v>-28.5</v>
      </c>
      <c r="I199">
        <f t="shared" si="31"/>
        <v>-99999999999</v>
      </c>
      <c r="K199">
        <f t="shared" ref="K199:K230" si="35">IF(H199&lt;0,0,A199*$I$3+H199*$I$4)</f>
        <v>0</v>
      </c>
      <c r="L199">
        <f t="shared" ref="L199:L255" si="36">IF(L$2,IF(K199=$K$5,H199,-99999999999),-99999999999)</f>
        <v>-99999999999</v>
      </c>
    </row>
    <row r="200" spans="1:12" x14ac:dyDescent="0.2">
      <c r="A200">
        <v>194</v>
      </c>
      <c r="B200">
        <f t="shared" si="30"/>
        <v>6</v>
      </c>
      <c r="C200">
        <f t="shared" si="30"/>
        <v>-30</v>
      </c>
      <c r="D200">
        <f t="shared" si="30"/>
        <v>34.5</v>
      </c>
      <c r="E200">
        <f t="shared" si="32"/>
        <v>6</v>
      </c>
      <c r="F200">
        <f t="shared" si="33"/>
        <v>-30</v>
      </c>
      <c r="G200">
        <f t="shared" si="34"/>
        <v>34.5</v>
      </c>
      <c r="H200" s="8">
        <f t="array" ref="H200">MIN(IF(B200:D200&lt;&gt;-99999999999,B200:D200))</f>
        <v>-30</v>
      </c>
      <c r="I200">
        <f t="shared" si="31"/>
        <v>-99999999999</v>
      </c>
      <c r="K200">
        <f t="shared" si="35"/>
        <v>0</v>
      </c>
      <c r="L200">
        <f t="shared" si="36"/>
        <v>-99999999999</v>
      </c>
    </row>
    <row r="201" spans="1:12" x14ac:dyDescent="0.2">
      <c r="A201">
        <v>195</v>
      </c>
      <c r="B201">
        <f t="shared" si="30"/>
        <v>5</v>
      </c>
      <c r="C201">
        <f t="shared" si="30"/>
        <v>-31.5</v>
      </c>
      <c r="D201">
        <f t="shared" si="30"/>
        <v>33.75</v>
      </c>
      <c r="E201">
        <f t="shared" si="32"/>
        <v>5</v>
      </c>
      <c r="F201">
        <f t="shared" si="33"/>
        <v>-31.5</v>
      </c>
      <c r="G201">
        <f t="shared" si="34"/>
        <v>33.75</v>
      </c>
      <c r="H201" s="8">
        <f t="array" ref="H201">MIN(IF(B201:D201&lt;&gt;-99999999999,B201:D201))</f>
        <v>-31.5</v>
      </c>
      <c r="I201">
        <f t="shared" si="31"/>
        <v>-99999999999</v>
      </c>
      <c r="K201">
        <f t="shared" si="35"/>
        <v>0</v>
      </c>
      <c r="L201">
        <f t="shared" si="36"/>
        <v>-99999999999</v>
      </c>
    </row>
    <row r="202" spans="1:12" x14ac:dyDescent="0.2">
      <c r="A202">
        <v>196</v>
      </c>
      <c r="B202">
        <f t="shared" si="30"/>
        <v>4</v>
      </c>
      <c r="C202">
        <f t="shared" si="30"/>
        <v>-33</v>
      </c>
      <c r="D202">
        <f t="shared" si="30"/>
        <v>33</v>
      </c>
      <c r="E202">
        <f t="shared" si="32"/>
        <v>4</v>
      </c>
      <c r="F202">
        <f t="shared" si="33"/>
        <v>-33</v>
      </c>
      <c r="G202">
        <f t="shared" si="34"/>
        <v>33</v>
      </c>
      <c r="H202" s="8">
        <f t="array" ref="H202">MIN(IF(B202:D202&lt;&gt;-99999999999,B202:D202))</f>
        <v>-33</v>
      </c>
      <c r="I202">
        <f t="shared" si="31"/>
        <v>-99999999999</v>
      </c>
      <c r="K202">
        <f t="shared" si="35"/>
        <v>0</v>
      </c>
      <c r="L202">
        <f t="shared" si="36"/>
        <v>-99999999999</v>
      </c>
    </row>
    <row r="203" spans="1:12" x14ac:dyDescent="0.2">
      <c r="A203">
        <v>197</v>
      </c>
      <c r="B203">
        <f t="shared" si="30"/>
        <v>3</v>
      </c>
      <c r="C203">
        <f t="shared" si="30"/>
        <v>-34.5</v>
      </c>
      <c r="D203">
        <f t="shared" si="30"/>
        <v>32.25</v>
      </c>
      <c r="E203">
        <f t="shared" si="32"/>
        <v>3</v>
      </c>
      <c r="F203">
        <f t="shared" si="33"/>
        <v>-34.5</v>
      </c>
      <c r="G203">
        <f t="shared" si="34"/>
        <v>32.25</v>
      </c>
      <c r="H203" s="8">
        <f t="array" ref="H203">MIN(IF(B203:D203&lt;&gt;-99999999999,B203:D203))</f>
        <v>-34.5</v>
      </c>
      <c r="I203">
        <f t="shared" si="31"/>
        <v>-99999999999</v>
      </c>
      <c r="K203">
        <f t="shared" si="35"/>
        <v>0</v>
      </c>
      <c r="L203">
        <f t="shared" si="36"/>
        <v>-99999999999</v>
      </c>
    </row>
    <row r="204" spans="1:12" x14ac:dyDescent="0.2">
      <c r="A204">
        <v>198</v>
      </c>
      <c r="B204">
        <f t="shared" si="30"/>
        <v>2</v>
      </c>
      <c r="C204">
        <f t="shared" si="30"/>
        <v>-36</v>
      </c>
      <c r="D204">
        <f t="shared" si="30"/>
        <v>31.5</v>
      </c>
      <c r="E204">
        <f t="shared" si="32"/>
        <v>2</v>
      </c>
      <c r="F204">
        <f t="shared" si="33"/>
        <v>-36</v>
      </c>
      <c r="G204">
        <f t="shared" si="34"/>
        <v>31.5</v>
      </c>
      <c r="H204" s="8">
        <f t="array" ref="H204">MIN(IF(B204:D204&lt;&gt;-99999999999,B204:D204))</f>
        <v>-36</v>
      </c>
      <c r="I204">
        <f t="shared" si="31"/>
        <v>-99999999999</v>
      </c>
      <c r="K204">
        <f t="shared" si="35"/>
        <v>0</v>
      </c>
      <c r="L204">
        <f t="shared" si="36"/>
        <v>-99999999999</v>
      </c>
    </row>
    <row r="205" spans="1:12" x14ac:dyDescent="0.2">
      <c r="A205">
        <v>199</v>
      </c>
      <c r="B205">
        <f t="shared" si="30"/>
        <v>1</v>
      </c>
      <c r="C205">
        <f t="shared" si="30"/>
        <v>-37.5</v>
      </c>
      <c r="D205">
        <f t="shared" si="30"/>
        <v>30.75</v>
      </c>
      <c r="E205">
        <f t="shared" si="32"/>
        <v>1</v>
      </c>
      <c r="F205">
        <f t="shared" si="33"/>
        <v>-37.5</v>
      </c>
      <c r="G205">
        <f t="shared" si="34"/>
        <v>30.75</v>
      </c>
      <c r="H205" s="8">
        <f t="array" ref="H205">MIN(IF(B205:D205&lt;&gt;-99999999999,B205:D205))</f>
        <v>-37.5</v>
      </c>
      <c r="I205">
        <f t="shared" si="31"/>
        <v>-99999999999</v>
      </c>
      <c r="K205">
        <f t="shared" si="35"/>
        <v>0</v>
      </c>
      <c r="L205">
        <f t="shared" si="36"/>
        <v>-99999999999</v>
      </c>
    </row>
    <row r="206" spans="1:12" x14ac:dyDescent="0.2">
      <c r="A206">
        <v>200</v>
      </c>
      <c r="B206">
        <f t="shared" si="30"/>
        <v>0</v>
      </c>
      <c r="C206">
        <f t="shared" si="30"/>
        <v>-39</v>
      </c>
      <c r="D206">
        <f t="shared" si="30"/>
        <v>30</v>
      </c>
      <c r="E206">
        <f t="shared" si="32"/>
        <v>0</v>
      </c>
      <c r="F206">
        <f t="shared" si="33"/>
        <v>-39</v>
      </c>
      <c r="G206">
        <f t="shared" si="34"/>
        <v>30</v>
      </c>
      <c r="H206" s="8">
        <f t="array" ref="H206">MIN(IF(B206:D206&lt;&gt;-99999999999,B206:D206))</f>
        <v>-39</v>
      </c>
      <c r="I206">
        <f t="shared" si="31"/>
        <v>-99999999999</v>
      </c>
      <c r="K206">
        <f t="shared" si="35"/>
        <v>0</v>
      </c>
      <c r="L206">
        <f t="shared" si="36"/>
        <v>-99999999999</v>
      </c>
    </row>
    <row r="207" spans="1:12" x14ac:dyDescent="0.2">
      <c r="A207">
        <v>201</v>
      </c>
      <c r="B207">
        <f t="shared" ref="B207:D226" si="37">IF(B$2,B$5/B$4-B$3/B$4*$A207,-99999999999)</f>
        <v>-1</v>
      </c>
      <c r="C207">
        <f t="shared" si="37"/>
        <v>-40.5</v>
      </c>
      <c r="D207">
        <f t="shared" si="37"/>
        <v>29.25</v>
      </c>
      <c r="E207">
        <f t="shared" si="32"/>
        <v>-1</v>
      </c>
      <c r="F207">
        <f t="shared" si="33"/>
        <v>-40.5</v>
      </c>
      <c r="G207">
        <f t="shared" si="34"/>
        <v>29.25</v>
      </c>
      <c r="H207" s="8">
        <f t="array" ref="H207">MIN(IF(B207:D207&lt;&gt;-99999999999,B207:D207))</f>
        <v>-40.5</v>
      </c>
      <c r="I207">
        <f t="shared" si="31"/>
        <v>-99999999999</v>
      </c>
      <c r="K207">
        <f t="shared" si="35"/>
        <v>0</v>
      </c>
      <c r="L207">
        <f t="shared" si="36"/>
        <v>-99999999999</v>
      </c>
    </row>
    <row r="208" spans="1:12" x14ac:dyDescent="0.2">
      <c r="A208">
        <v>202</v>
      </c>
      <c r="B208">
        <f t="shared" si="37"/>
        <v>-2</v>
      </c>
      <c r="C208">
        <f t="shared" si="37"/>
        <v>-42</v>
      </c>
      <c r="D208">
        <f t="shared" si="37"/>
        <v>28.5</v>
      </c>
      <c r="E208">
        <f t="shared" si="32"/>
        <v>-2</v>
      </c>
      <c r="F208">
        <f t="shared" si="33"/>
        <v>-42</v>
      </c>
      <c r="G208">
        <f t="shared" si="34"/>
        <v>28.5</v>
      </c>
      <c r="H208" s="8">
        <f t="array" ref="H208">MIN(IF(B208:D208&lt;&gt;-99999999999,B208:D208))</f>
        <v>-42</v>
      </c>
      <c r="I208">
        <f t="shared" si="31"/>
        <v>-99999999999</v>
      </c>
      <c r="K208">
        <f t="shared" si="35"/>
        <v>0</v>
      </c>
      <c r="L208">
        <f t="shared" si="36"/>
        <v>-99999999999</v>
      </c>
    </row>
    <row r="209" spans="1:12" x14ac:dyDescent="0.2">
      <c r="A209">
        <v>203</v>
      </c>
      <c r="B209">
        <f t="shared" si="37"/>
        <v>-3</v>
      </c>
      <c r="C209">
        <f t="shared" si="37"/>
        <v>-43.5</v>
      </c>
      <c r="D209">
        <f t="shared" si="37"/>
        <v>27.75</v>
      </c>
      <c r="E209">
        <f t="shared" si="32"/>
        <v>-3</v>
      </c>
      <c r="F209">
        <f t="shared" si="33"/>
        <v>-43.5</v>
      </c>
      <c r="G209">
        <f t="shared" si="34"/>
        <v>27.75</v>
      </c>
      <c r="H209" s="8">
        <f t="array" ref="H209">MIN(IF(B209:D209&lt;&gt;-99999999999,B209:D209))</f>
        <v>-43.5</v>
      </c>
      <c r="I209">
        <f t="shared" si="31"/>
        <v>-99999999999</v>
      </c>
      <c r="K209">
        <f t="shared" si="35"/>
        <v>0</v>
      </c>
      <c r="L209">
        <f t="shared" si="36"/>
        <v>-99999999999</v>
      </c>
    </row>
    <row r="210" spans="1:12" x14ac:dyDescent="0.2">
      <c r="A210">
        <v>204</v>
      </c>
      <c r="B210">
        <f t="shared" si="37"/>
        <v>-4</v>
      </c>
      <c r="C210">
        <f t="shared" si="37"/>
        <v>-45</v>
      </c>
      <c r="D210">
        <f t="shared" si="37"/>
        <v>27</v>
      </c>
      <c r="E210">
        <f t="shared" si="32"/>
        <v>-4</v>
      </c>
      <c r="F210">
        <f t="shared" si="33"/>
        <v>-45</v>
      </c>
      <c r="G210">
        <f t="shared" si="34"/>
        <v>27</v>
      </c>
      <c r="H210" s="8">
        <f t="array" ref="H210">MIN(IF(B210:D210&lt;&gt;-99999999999,B210:D210))</f>
        <v>-45</v>
      </c>
      <c r="I210">
        <f t="shared" si="31"/>
        <v>-99999999999</v>
      </c>
      <c r="K210">
        <f t="shared" si="35"/>
        <v>0</v>
      </c>
      <c r="L210">
        <f t="shared" si="36"/>
        <v>-99999999999</v>
      </c>
    </row>
    <row r="211" spans="1:12" x14ac:dyDescent="0.2">
      <c r="A211">
        <v>205</v>
      </c>
      <c r="B211">
        <f t="shared" si="37"/>
        <v>-5</v>
      </c>
      <c r="C211">
        <f t="shared" si="37"/>
        <v>-46.5</v>
      </c>
      <c r="D211">
        <f t="shared" si="37"/>
        <v>26.25</v>
      </c>
      <c r="E211">
        <f t="shared" si="32"/>
        <v>-5</v>
      </c>
      <c r="F211">
        <f t="shared" si="33"/>
        <v>-46.5</v>
      </c>
      <c r="G211">
        <f t="shared" si="34"/>
        <v>26.25</v>
      </c>
      <c r="H211" s="8">
        <f t="array" ref="H211">MIN(IF(B211:D211&lt;&gt;-99999999999,B211:D211))</f>
        <v>-46.5</v>
      </c>
      <c r="I211">
        <f t="shared" si="31"/>
        <v>-99999999999</v>
      </c>
      <c r="K211">
        <f t="shared" si="35"/>
        <v>0</v>
      </c>
      <c r="L211">
        <f t="shared" si="36"/>
        <v>-99999999999</v>
      </c>
    </row>
    <row r="212" spans="1:12" x14ac:dyDescent="0.2">
      <c r="A212">
        <v>206</v>
      </c>
      <c r="B212">
        <f t="shared" si="37"/>
        <v>-6</v>
      </c>
      <c r="C212">
        <f t="shared" si="37"/>
        <v>-48</v>
      </c>
      <c r="D212">
        <f t="shared" si="37"/>
        <v>25.5</v>
      </c>
      <c r="E212">
        <f t="shared" si="32"/>
        <v>-6</v>
      </c>
      <c r="F212">
        <f t="shared" si="33"/>
        <v>-48</v>
      </c>
      <c r="G212">
        <f t="shared" si="34"/>
        <v>25.5</v>
      </c>
      <c r="H212" s="8">
        <f t="array" ref="H212">MIN(IF(B212:D212&lt;&gt;-99999999999,B212:D212))</f>
        <v>-48</v>
      </c>
      <c r="I212">
        <f t="shared" si="31"/>
        <v>-99999999999</v>
      </c>
      <c r="K212">
        <f t="shared" si="35"/>
        <v>0</v>
      </c>
      <c r="L212">
        <f t="shared" si="36"/>
        <v>-99999999999</v>
      </c>
    </row>
    <row r="213" spans="1:12" x14ac:dyDescent="0.2">
      <c r="A213">
        <v>207</v>
      </c>
      <c r="B213">
        <f t="shared" si="37"/>
        <v>-7</v>
      </c>
      <c r="C213">
        <f t="shared" si="37"/>
        <v>-49.5</v>
      </c>
      <c r="D213">
        <f t="shared" si="37"/>
        <v>24.75</v>
      </c>
      <c r="E213">
        <f t="shared" si="32"/>
        <v>-7</v>
      </c>
      <c r="F213">
        <f t="shared" si="33"/>
        <v>-49.5</v>
      </c>
      <c r="G213">
        <f t="shared" si="34"/>
        <v>24.75</v>
      </c>
      <c r="H213" s="8">
        <f t="array" ref="H213">MIN(IF(B213:D213&lt;&gt;-99999999999,B213:D213))</f>
        <v>-49.5</v>
      </c>
      <c r="I213">
        <f t="shared" si="31"/>
        <v>-99999999999</v>
      </c>
      <c r="K213">
        <f t="shared" si="35"/>
        <v>0</v>
      </c>
      <c r="L213">
        <f t="shared" si="36"/>
        <v>-99999999999</v>
      </c>
    </row>
    <row r="214" spans="1:12" x14ac:dyDescent="0.2">
      <c r="A214">
        <v>208</v>
      </c>
      <c r="B214">
        <f t="shared" si="37"/>
        <v>-8</v>
      </c>
      <c r="C214">
        <f t="shared" si="37"/>
        <v>-51</v>
      </c>
      <c r="D214">
        <f t="shared" si="37"/>
        <v>24</v>
      </c>
      <c r="E214">
        <f t="shared" si="32"/>
        <v>-8</v>
      </c>
      <c r="F214">
        <f t="shared" si="33"/>
        <v>-51</v>
      </c>
      <c r="G214">
        <f t="shared" si="34"/>
        <v>24</v>
      </c>
      <c r="H214" s="8">
        <f t="array" ref="H214">MIN(IF(B214:D214&lt;&gt;-99999999999,B214:D214))</f>
        <v>-51</v>
      </c>
      <c r="I214">
        <f t="shared" si="31"/>
        <v>-99999999999</v>
      </c>
      <c r="K214">
        <f t="shared" si="35"/>
        <v>0</v>
      </c>
      <c r="L214">
        <f t="shared" si="36"/>
        <v>-99999999999</v>
      </c>
    </row>
    <row r="215" spans="1:12" x14ac:dyDescent="0.2">
      <c r="A215">
        <v>209</v>
      </c>
      <c r="B215">
        <f t="shared" si="37"/>
        <v>-9</v>
      </c>
      <c r="C215">
        <f t="shared" si="37"/>
        <v>-52.5</v>
      </c>
      <c r="D215">
        <f t="shared" si="37"/>
        <v>23.25</v>
      </c>
      <c r="E215">
        <f t="shared" si="32"/>
        <v>-9</v>
      </c>
      <c r="F215">
        <f t="shared" si="33"/>
        <v>-52.5</v>
      </c>
      <c r="G215">
        <f t="shared" si="34"/>
        <v>23.25</v>
      </c>
      <c r="H215" s="8">
        <f t="array" ref="H215">MIN(IF(B215:D215&lt;&gt;-99999999999,B215:D215))</f>
        <v>-52.5</v>
      </c>
      <c r="I215">
        <f t="shared" si="31"/>
        <v>-99999999999</v>
      </c>
      <c r="K215">
        <f t="shared" si="35"/>
        <v>0</v>
      </c>
      <c r="L215">
        <f t="shared" si="36"/>
        <v>-99999999999</v>
      </c>
    </row>
    <row r="216" spans="1:12" x14ac:dyDescent="0.2">
      <c r="A216">
        <v>210</v>
      </c>
      <c r="B216">
        <f t="shared" si="37"/>
        <v>-10</v>
      </c>
      <c r="C216">
        <f t="shared" si="37"/>
        <v>-54</v>
      </c>
      <c r="D216">
        <f t="shared" si="37"/>
        <v>22.5</v>
      </c>
      <c r="E216">
        <f t="shared" si="32"/>
        <v>-10</v>
      </c>
      <c r="F216">
        <f t="shared" si="33"/>
        <v>-54</v>
      </c>
      <c r="G216">
        <f t="shared" si="34"/>
        <v>22.5</v>
      </c>
      <c r="H216" s="8">
        <f t="array" ref="H216">MIN(IF(B216:D216&lt;&gt;-99999999999,B216:D216))</f>
        <v>-54</v>
      </c>
      <c r="I216">
        <f t="shared" si="31"/>
        <v>-99999999999</v>
      </c>
      <c r="K216">
        <f t="shared" si="35"/>
        <v>0</v>
      </c>
      <c r="L216">
        <f t="shared" si="36"/>
        <v>-99999999999</v>
      </c>
    </row>
    <row r="217" spans="1:12" x14ac:dyDescent="0.2">
      <c r="A217">
        <v>211</v>
      </c>
      <c r="B217">
        <f t="shared" si="37"/>
        <v>-11</v>
      </c>
      <c r="C217">
        <f t="shared" si="37"/>
        <v>-55.5</v>
      </c>
      <c r="D217">
        <f t="shared" si="37"/>
        <v>21.75</v>
      </c>
      <c r="E217">
        <f t="shared" si="32"/>
        <v>-11</v>
      </c>
      <c r="F217">
        <f t="shared" si="33"/>
        <v>-55.5</v>
      </c>
      <c r="G217">
        <f t="shared" si="34"/>
        <v>21.75</v>
      </c>
      <c r="H217" s="8">
        <f t="array" ref="H217">MIN(IF(B217:D217&lt;&gt;-99999999999,B217:D217))</f>
        <v>-55.5</v>
      </c>
      <c r="I217">
        <f t="shared" si="31"/>
        <v>-99999999999</v>
      </c>
      <c r="K217">
        <f t="shared" si="35"/>
        <v>0</v>
      </c>
      <c r="L217">
        <f t="shared" si="36"/>
        <v>-99999999999</v>
      </c>
    </row>
    <row r="218" spans="1:12" x14ac:dyDescent="0.2">
      <c r="A218">
        <v>212</v>
      </c>
      <c r="B218">
        <f t="shared" si="37"/>
        <v>-12</v>
      </c>
      <c r="C218">
        <f t="shared" si="37"/>
        <v>-57</v>
      </c>
      <c r="D218">
        <f t="shared" si="37"/>
        <v>21</v>
      </c>
      <c r="E218">
        <f t="shared" si="32"/>
        <v>-12</v>
      </c>
      <c r="F218">
        <f t="shared" si="33"/>
        <v>-57</v>
      </c>
      <c r="G218">
        <f t="shared" si="34"/>
        <v>21</v>
      </c>
      <c r="H218" s="8">
        <f t="array" ref="H218">MIN(IF(B218:D218&lt;&gt;-99999999999,B218:D218))</f>
        <v>-57</v>
      </c>
      <c r="I218">
        <f t="shared" si="31"/>
        <v>-99999999999</v>
      </c>
      <c r="K218">
        <f t="shared" si="35"/>
        <v>0</v>
      </c>
      <c r="L218">
        <f t="shared" si="36"/>
        <v>-99999999999</v>
      </c>
    </row>
    <row r="219" spans="1:12" x14ac:dyDescent="0.2">
      <c r="A219">
        <v>213</v>
      </c>
      <c r="B219">
        <f t="shared" si="37"/>
        <v>-13</v>
      </c>
      <c r="C219">
        <f t="shared" si="37"/>
        <v>-58.5</v>
      </c>
      <c r="D219">
        <f t="shared" si="37"/>
        <v>20.25</v>
      </c>
      <c r="E219">
        <f t="shared" si="32"/>
        <v>-13</v>
      </c>
      <c r="F219">
        <f t="shared" si="33"/>
        <v>-58.5</v>
      </c>
      <c r="G219">
        <f t="shared" si="34"/>
        <v>20.25</v>
      </c>
      <c r="H219" s="8">
        <f t="array" ref="H219">MIN(IF(B219:D219&lt;&gt;-99999999999,B219:D219))</f>
        <v>-58.5</v>
      </c>
      <c r="I219">
        <f t="shared" si="31"/>
        <v>-99999999999</v>
      </c>
      <c r="K219">
        <f t="shared" si="35"/>
        <v>0</v>
      </c>
      <c r="L219">
        <f t="shared" si="36"/>
        <v>-99999999999</v>
      </c>
    </row>
    <row r="220" spans="1:12" x14ac:dyDescent="0.2">
      <c r="A220">
        <v>214</v>
      </c>
      <c r="B220">
        <f t="shared" si="37"/>
        <v>-14</v>
      </c>
      <c r="C220">
        <f t="shared" si="37"/>
        <v>-60</v>
      </c>
      <c r="D220">
        <f t="shared" si="37"/>
        <v>19.5</v>
      </c>
      <c r="E220">
        <f t="shared" si="32"/>
        <v>-14</v>
      </c>
      <c r="F220">
        <f t="shared" si="33"/>
        <v>-60</v>
      </c>
      <c r="G220">
        <f t="shared" si="34"/>
        <v>19.5</v>
      </c>
      <c r="H220" s="8">
        <f t="array" ref="H220">MIN(IF(B220:D220&lt;&gt;-99999999999,B220:D220))</f>
        <v>-60</v>
      </c>
      <c r="I220">
        <f t="shared" si="31"/>
        <v>-99999999999</v>
      </c>
      <c r="K220">
        <f t="shared" si="35"/>
        <v>0</v>
      </c>
      <c r="L220">
        <f t="shared" si="36"/>
        <v>-99999999999</v>
      </c>
    </row>
    <row r="221" spans="1:12" x14ac:dyDescent="0.2">
      <c r="A221">
        <v>215</v>
      </c>
      <c r="B221">
        <f t="shared" si="37"/>
        <v>-15</v>
      </c>
      <c r="C221">
        <f t="shared" si="37"/>
        <v>-61.5</v>
      </c>
      <c r="D221">
        <f t="shared" si="37"/>
        <v>18.75</v>
      </c>
      <c r="E221">
        <f t="shared" si="32"/>
        <v>-15</v>
      </c>
      <c r="F221">
        <f t="shared" si="33"/>
        <v>-61.5</v>
      </c>
      <c r="G221">
        <f t="shared" si="34"/>
        <v>18.75</v>
      </c>
      <c r="H221" s="8">
        <f t="array" ref="H221">MIN(IF(B221:D221&lt;&gt;-99999999999,B221:D221))</f>
        <v>-61.5</v>
      </c>
      <c r="I221">
        <f t="shared" si="31"/>
        <v>-99999999999</v>
      </c>
      <c r="K221">
        <f t="shared" si="35"/>
        <v>0</v>
      </c>
      <c r="L221">
        <f t="shared" si="36"/>
        <v>-99999999999</v>
      </c>
    </row>
    <row r="222" spans="1:12" x14ac:dyDescent="0.2">
      <c r="A222">
        <v>216</v>
      </c>
      <c r="B222">
        <f t="shared" si="37"/>
        <v>-16</v>
      </c>
      <c r="C222">
        <f t="shared" si="37"/>
        <v>-63</v>
      </c>
      <c r="D222">
        <f t="shared" si="37"/>
        <v>18</v>
      </c>
      <c r="E222">
        <f t="shared" si="32"/>
        <v>-16</v>
      </c>
      <c r="F222">
        <f t="shared" si="33"/>
        <v>-63</v>
      </c>
      <c r="G222">
        <f t="shared" si="34"/>
        <v>18</v>
      </c>
      <c r="H222" s="8">
        <f t="array" ref="H222">MIN(IF(B222:D222&lt;&gt;-99999999999,B222:D222))</f>
        <v>-63</v>
      </c>
      <c r="I222">
        <f t="shared" si="31"/>
        <v>-99999999999</v>
      </c>
      <c r="K222">
        <f t="shared" si="35"/>
        <v>0</v>
      </c>
      <c r="L222">
        <f t="shared" si="36"/>
        <v>-99999999999</v>
      </c>
    </row>
    <row r="223" spans="1:12" x14ac:dyDescent="0.2">
      <c r="A223">
        <v>217</v>
      </c>
      <c r="B223">
        <f t="shared" si="37"/>
        <v>-17</v>
      </c>
      <c r="C223">
        <f t="shared" si="37"/>
        <v>-64.5</v>
      </c>
      <c r="D223">
        <f t="shared" si="37"/>
        <v>17.25</v>
      </c>
      <c r="E223">
        <f t="shared" si="32"/>
        <v>-17</v>
      </c>
      <c r="F223">
        <f t="shared" si="33"/>
        <v>-64.5</v>
      </c>
      <c r="G223">
        <f t="shared" si="34"/>
        <v>17.25</v>
      </c>
      <c r="H223" s="8">
        <f t="array" ref="H223">MIN(IF(B223:D223&lt;&gt;-99999999999,B223:D223))</f>
        <v>-64.5</v>
      </c>
      <c r="I223">
        <f t="shared" si="31"/>
        <v>-99999999999</v>
      </c>
      <c r="K223">
        <f t="shared" si="35"/>
        <v>0</v>
      </c>
      <c r="L223">
        <f t="shared" si="36"/>
        <v>-99999999999</v>
      </c>
    </row>
    <row r="224" spans="1:12" x14ac:dyDescent="0.2">
      <c r="A224">
        <v>218</v>
      </c>
      <c r="B224">
        <f t="shared" si="37"/>
        <v>-18</v>
      </c>
      <c r="C224">
        <f t="shared" si="37"/>
        <v>-66</v>
      </c>
      <c r="D224">
        <f t="shared" si="37"/>
        <v>16.5</v>
      </c>
      <c r="E224">
        <f t="shared" si="32"/>
        <v>-18</v>
      </c>
      <c r="F224">
        <f t="shared" si="33"/>
        <v>-66</v>
      </c>
      <c r="G224">
        <f t="shared" si="34"/>
        <v>16.5</v>
      </c>
      <c r="H224" s="8">
        <f t="array" ref="H224">MIN(IF(B224:D224&lt;&gt;-99999999999,B224:D224))</f>
        <v>-66</v>
      </c>
      <c r="I224">
        <f t="shared" si="31"/>
        <v>-99999999999</v>
      </c>
      <c r="K224">
        <f t="shared" si="35"/>
        <v>0</v>
      </c>
      <c r="L224">
        <f t="shared" si="36"/>
        <v>-99999999999</v>
      </c>
    </row>
    <row r="225" spans="1:12" x14ac:dyDescent="0.2">
      <c r="A225">
        <v>219</v>
      </c>
      <c r="B225">
        <f t="shared" si="37"/>
        <v>-19</v>
      </c>
      <c r="C225">
        <f t="shared" si="37"/>
        <v>-67.5</v>
      </c>
      <c r="D225">
        <f t="shared" si="37"/>
        <v>15.75</v>
      </c>
      <c r="E225">
        <f t="shared" si="32"/>
        <v>-19</v>
      </c>
      <c r="F225">
        <f t="shared" si="33"/>
        <v>-67.5</v>
      </c>
      <c r="G225">
        <f t="shared" si="34"/>
        <v>15.75</v>
      </c>
      <c r="H225" s="8">
        <f t="array" ref="H225">MIN(IF(B225:D225&lt;&gt;-99999999999,B225:D225))</f>
        <v>-67.5</v>
      </c>
      <c r="I225">
        <f t="shared" si="31"/>
        <v>-99999999999</v>
      </c>
      <c r="K225">
        <f t="shared" si="35"/>
        <v>0</v>
      </c>
      <c r="L225">
        <f t="shared" si="36"/>
        <v>-99999999999</v>
      </c>
    </row>
    <row r="226" spans="1:12" x14ac:dyDescent="0.2">
      <c r="A226">
        <v>220</v>
      </c>
      <c r="B226">
        <f t="shared" si="37"/>
        <v>-20</v>
      </c>
      <c r="C226">
        <f t="shared" si="37"/>
        <v>-69</v>
      </c>
      <c r="D226">
        <f t="shared" si="37"/>
        <v>15</v>
      </c>
      <c r="E226">
        <f t="shared" si="32"/>
        <v>-20</v>
      </c>
      <c r="F226">
        <f t="shared" si="33"/>
        <v>-69</v>
      </c>
      <c r="G226">
        <f t="shared" si="34"/>
        <v>15</v>
      </c>
      <c r="H226" s="8">
        <f t="array" ref="H226">MIN(IF(B226:D226&lt;&gt;-99999999999,B226:D226))</f>
        <v>-69</v>
      </c>
      <c r="I226">
        <f t="shared" si="31"/>
        <v>-99999999999</v>
      </c>
      <c r="K226">
        <f t="shared" si="35"/>
        <v>0</v>
      </c>
      <c r="L226">
        <f t="shared" si="36"/>
        <v>-99999999999</v>
      </c>
    </row>
    <row r="227" spans="1:12" x14ac:dyDescent="0.2">
      <c r="A227">
        <v>221</v>
      </c>
      <c r="B227">
        <f t="shared" ref="B227:D254" si="38">IF(B$2,B$5/B$4-B$3/B$4*$A227,-99999999999)</f>
        <v>-21</v>
      </c>
      <c r="C227">
        <f t="shared" si="38"/>
        <v>-70.5</v>
      </c>
      <c r="D227">
        <f t="shared" si="38"/>
        <v>14.25</v>
      </c>
      <c r="E227">
        <f t="shared" si="32"/>
        <v>-21</v>
      </c>
      <c r="F227">
        <f t="shared" si="33"/>
        <v>-70.5</v>
      </c>
      <c r="G227">
        <f t="shared" si="34"/>
        <v>14.25</v>
      </c>
      <c r="H227" s="8">
        <f t="array" ref="H227">MIN(IF(B227:D227&lt;&gt;-99999999999,B227:D227))</f>
        <v>-70.5</v>
      </c>
      <c r="I227">
        <f t="shared" si="31"/>
        <v>-99999999999</v>
      </c>
      <c r="K227">
        <f t="shared" si="35"/>
        <v>0</v>
      </c>
      <c r="L227">
        <f t="shared" si="36"/>
        <v>-99999999999</v>
      </c>
    </row>
    <row r="228" spans="1:12" x14ac:dyDescent="0.2">
      <c r="A228">
        <v>222</v>
      </c>
      <c r="B228">
        <f t="shared" si="38"/>
        <v>-22</v>
      </c>
      <c r="C228">
        <f t="shared" si="38"/>
        <v>-72</v>
      </c>
      <c r="D228">
        <f t="shared" si="38"/>
        <v>13.5</v>
      </c>
      <c r="E228">
        <f t="shared" si="32"/>
        <v>-22</v>
      </c>
      <c r="F228">
        <f t="shared" si="33"/>
        <v>-72</v>
      </c>
      <c r="G228">
        <f t="shared" si="34"/>
        <v>13.5</v>
      </c>
      <c r="H228" s="8">
        <f t="array" ref="H228">MIN(IF(B228:D228&lt;&gt;-99999999999,B228:D228))</f>
        <v>-72</v>
      </c>
      <c r="I228">
        <f t="shared" si="31"/>
        <v>-99999999999</v>
      </c>
      <c r="K228">
        <f t="shared" si="35"/>
        <v>0</v>
      </c>
      <c r="L228">
        <f t="shared" si="36"/>
        <v>-99999999999</v>
      </c>
    </row>
    <row r="229" spans="1:12" x14ac:dyDescent="0.2">
      <c r="A229">
        <v>223</v>
      </c>
      <c r="B229">
        <f t="shared" si="38"/>
        <v>-23</v>
      </c>
      <c r="C229">
        <f t="shared" si="38"/>
        <v>-73.5</v>
      </c>
      <c r="D229">
        <f t="shared" si="38"/>
        <v>12.75</v>
      </c>
      <c r="E229">
        <f t="shared" si="32"/>
        <v>-23</v>
      </c>
      <c r="F229">
        <f t="shared" si="33"/>
        <v>-73.5</v>
      </c>
      <c r="G229">
        <f t="shared" si="34"/>
        <v>12.75</v>
      </c>
      <c r="H229" s="8">
        <f t="array" ref="H229">MIN(IF(B229:D229&lt;&gt;-99999999999,B229:D229))</f>
        <v>-73.5</v>
      </c>
      <c r="I229">
        <f t="shared" si="31"/>
        <v>-99999999999</v>
      </c>
      <c r="K229">
        <f t="shared" si="35"/>
        <v>0</v>
      </c>
      <c r="L229">
        <f t="shared" si="36"/>
        <v>-99999999999</v>
      </c>
    </row>
    <row r="230" spans="1:12" x14ac:dyDescent="0.2">
      <c r="A230">
        <v>224</v>
      </c>
      <c r="B230">
        <f t="shared" si="38"/>
        <v>-24</v>
      </c>
      <c r="C230">
        <f t="shared" si="38"/>
        <v>-75</v>
      </c>
      <c r="D230">
        <f t="shared" si="38"/>
        <v>12</v>
      </c>
      <c r="E230">
        <f t="shared" si="32"/>
        <v>-24</v>
      </c>
      <c r="F230">
        <f t="shared" si="33"/>
        <v>-75</v>
      </c>
      <c r="G230">
        <f t="shared" si="34"/>
        <v>12</v>
      </c>
      <c r="H230" s="8">
        <f t="array" ref="H230">MIN(IF(B230:D230&lt;&gt;-99999999999,B230:D230))</f>
        <v>-75</v>
      </c>
      <c r="I230">
        <f t="shared" si="31"/>
        <v>-99999999999</v>
      </c>
      <c r="K230">
        <f t="shared" si="35"/>
        <v>0</v>
      </c>
      <c r="L230">
        <f t="shared" si="36"/>
        <v>-99999999999</v>
      </c>
    </row>
    <row r="231" spans="1:12" x14ac:dyDescent="0.2">
      <c r="A231">
        <v>225</v>
      </c>
      <c r="B231">
        <f t="shared" si="38"/>
        <v>-25</v>
      </c>
      <c r="C231">
        <f t="shared" si="38"/>
        <v>-76.5</v>
      </c>
      <c r="D231">
        <f t="shared" si="38"/>
        <v>11.25</v>
      </c>
      <c r="E231">
        <f t="shared" si="32"/>
        <v>-25</v>
      </c>
      <c r="F231">
        <f t="shared" si="33"/>
        <v>-76.5</v>
      </c>
      <c r="G231">
        <f t="shared" si="34"/>
        <v>11.25</v>
      </c>
      <c r="H231" s="8">
        <f t="array" ref="H231">MIN(IF(B231:D231&lt;&gt;-99999999999,B231:D231))</f>
        <v>-76.5</v>
      </c>
      <c r="I231">
        <f t="shared" si="31"/>
        <v>-99999999999</v>
      </c>
      <c r="K231">
        <f t="shared" ref="K231:K254" si="39">IF(H231&lt;0,0,A231*$I$3+H231*$I$4)</f>
        <v>0</v>
      </c>
      <c r="L231">
        <f t="shared" ref="L231:L254" si="40">IF(L$2,IF(K231=$K$5,H231,-99999999999),-99999999999)</f>
        <v>-99999999999</v>
      </c>
    </row>
    <row r="232" spans="1:12" x14ac:dyDescent="0.2">
      <c r="A232">
        <v>226</v>
      </c>
      <c r="B232">
        <f t="shared" si="38"/>
        <v>-26</v>
      </c>
      <c r="C232">
        <f t="shared" si="38"/>
        <v>-78</v>
      </c>
      <c r="D232">
        <f t="shared" si="38"/>
        <v>10.5</v>
      </c>
      <c r="E232">
        <f t="shared" si="32"/>
        <v>-26</v>
      </c>
      <c r="F232">
        <f t="shared" si="33"/>
        <v>-78</v>
      </c>
      <c r="G232">
        <f t="shared" si="34"/>
        <v>10.5</v>
      </c>
      <c r="H232" s="8">
        <f t="array" ref="H232">MIN(IF(B232:D232&lt;&gt;-99999999999,B232:D232))</f>
        <v>-78</v>
      </c>
      <c r="I232">
        <f t="shared" si="31"/>
        <v>-99999999999</v>
      </c>
      <c r="K232">
        <f t="shared" si="39"/>
        <v>0</v>
      </c>
      <c r="L232">
        <f t="shared" si="40"/>
        <v>-99999999999</v>
      </c>
    </row>
    <row r="233" spans="1:12" x14ac:dyDescent="0.2">
      <c r="A233">
        <v>227</v>
      </c>
      <c r="B233">
        <f t="shared" si="38"/>
        <v>-27</v>
      </c>
      <c r="C233">
        <f t="shared" si="38"/>
        <v>-79.5</v>
      </c>
      <c r="D233">
        <f t="shared" si="38"/>
        <v>9.75</v>
      </c>
      <c r="E233">
        <f t="shared" si="32"/>
        <v>-27</v>
      </c>
      <c r="F233">
        <f t="shared" si="33"/>
        <v>-79.5</v>
      </c>
      <c r="G233">
        <f t="shared" si="34"/>
        <v>9.75</v>
      </c>
      <c r="H233" s="8">
        <f t="array" ref="H233">MIN(IF(B233:D233&lt;&gt;-99999999999,B233:D233))</f>
        <v>-79.5</v>
      </c>
      <c r="I233">
        <f t="shared" si="31"/>
        <v>-99999999999</v>
      </c>
      <c r="K233">
        <f t="shared" si="39"/>
        <v>0</v>
      </c>
      <c r="L233">
        <f t="shared" si="40"/>
        <v>-99999999999</v>
      </c>
    </row>
    <row r="234" spans="1:12" x14ac:dyDescent="0.2">
      <c r="A234">
        <v>228</v>
      </c>
      <c r="B234">
        <f t="shared" si="38"/>
        <v>-28</v>
      </c>
      <c r="C234">
        <f t="shared" si="38"/>
        <v>-81</v>
      </c>
      <c r="D234">
        <f t="shared" si="38"/>
        <v>9</v>
      </c>
      <c r="E234">
        <f t="shared" si="32"/>
        <v>-28</v>
      </c>
      <c r="F234">
        <f t="shared" si="33"/>
        <v>-81</v>
      </c>
      <c r="G234">
        <f t="shared" si="34"/>
        <v>9</v>
      </c>
      <c r="H234" s="8">
        <f t="array" ref="H234">MIN(IF(B234:D234&lt;&gt;-99999999999,B234:D234))</f>
        <v>-81</v>
      </c>
      <c r="I234">
        <f t="shared" si="31"/>
        <v>-99999999999</v>
      </c>
      <c r="K234">
        <f t="shared" si="39"/>
        <v>0</v>
      </c>
      <c r="L234">
        <f t="shared" si="40"/>
        <v>-99999999999</v>
      </c>
    </row>
    <row r="235" spans="1:12" x14ac:dyDescent="0.2">
      <c r="A235">
        <v>229</v>
      </c>
      <c r="B235">
        <f t="shared" si="38"/>
        <v>-29</v>
      </c>
      <c r="C235">
        <f t="shared" si="38"/>
        <v>-82.5</v>
      </c>
      <c r="D235">
        <f t="shared" si="38"/>
        <v>8.25</v>
      </c>
      <c r="E235">
        <f t="shared" si="32"/>
        <v>-29</v>
      </c>
      <c r="F235">
        <f t="shared" si="33"/>
        <v>-82.5</v>
      </c>
      <c r="G235">
        <f t="shared" si="34"/>
        <v>8.25</v>
      </c>
      <c r="H235" s="8">
        <f t="array" ref="H235">MIN(IF(B235:D235&lt;&gt;-99999999999,B235:D235))</f>
        <v>-82.5</v>
      </c>
      <c r="I235">
        <f t="shared" si="31"/>
        <v>-99999999999</v>
      </c>
      <c r="K235">
        <f t="shared" si="39"/>
        <v>0</v>
      </c>
      <c r="L235">
        <f t="shared" si="40"/>
        <v>-99999999999</v>
      </c>
    </row>
    <row r="236" spans="1:12" x14ac:dyDescent="0.2">
      <c r="A236">
        <v>230</v>
      </c>
      <c r="B236">
        <f t="shared" si="38"/>
        <v>-30</v>
      </c>
      <c r="C236">
        <f t="shared" si="38"/>
        <v>-84</v>
      </c>
      <c r="D236">
        <f t="shared" si="38"/>
        <v>7.5</v>
      </c>
      <c r="E236">
        <f t="shared" si="32"/>
        <v>-30</v>
      </c>
      <c r="F236">
        <f t="shared" si="33"/>
        <v>-84</v>
      </c>
      <c r="G236">
        <f t="shared" si="34"/>
        <v>7.5</v>
      </c>
      <c r="H236" s="8">
        <f t="array" ref="H236">MIN(IF(B236:D236&lt;&gt;-99999999999,B236:D236))</f>
        <v>-84</v>
      </c>
      <c r="I236">
        <f t="shared" si="31"/>
        <v>-99999999999</v>
      </c>
      <c r="K236">
        <f t="shared" si="39"/>
        <v>0</v>
      </c>
      <c r="L236">
        <f t="shared" si="40"/>
        <v>-99999999999</v>
      </c>
    </row>
    <row r="237" spans="1:12" x14ac:dyDescent="0.2">
      <c r="A237">
        <v>231</v>
      </c>
      <c r="B237">
        <f t="shared" si="38"/>
        <v>-31</v>
      </c>
      <c r="C237">
        <f t="shared" si="38"/>
        <v>-85.5</v>
      </c>
      <c r="D237">
        <f t="shared" si="38"/>
        <v>6.75</v>
      </c>
      <c r="E237">
        <f t="shared" si="32"/>
        <v>-31</v>
      </c>
      <c r="F237">
        <f t="shared" si="33"/>
        <v>-85.5</v>
      </c>
      <c r="G237">
        <f t="shared" si="34"/>
        <v>6.75</v>
      </c>
      <c r="H237" s="8">
        <f t="array" ref="H237">MIN(IF(B237:D237&lt;&gt;-99999999999,B237:D237))</f>
        <v>-85.5</v>
      </c>
      <c r="I237">
        <f t="shared" si="31"/>
        <v>-99999999999</v>
      </c>
      <c r="K237">
        <f t="shared" si="39"/>
        <v>0</v>
      </c>
      <c r="L237">
        <f t="shared" si="40"/>
        <v>-99999999999</v>
      </c>
    </row>
    <row r="238" spans="1:12" x14ac:dyDescent="0.2">
      <c r="A238">
        <v>232</v>
      </c>
      <c r="B238">
        <f t="shared" si="38"/>
        <v>-32</v>
      </c>
      <c r="C238">
        <f t="shared" si="38"/>
        <v>-87</v>
      </c>
      <c r="D238">
        <f t="shared" si="38"/>
        <v>6</v>
      </c>
      <c r="E238">
        <f t="shared" si="32"/>
        <v>-32</v>
      </c>
      <c r="F238">
        <f t="shared" si="33"/>
        <v>-87</v>
      </c>
      <c r="G238">
        <f t="shared" si="34"/>
        <v>6</v>
      </c>
      <c r="H238" s="8">
        <f t="array" ref="H238">MIN(IF(B238:D238&lt;&gt;-99999999999,B238:D238))</f>
        <v>-87</v>
      </c>
      <c r="I238">
        <f t="shared" si="31"/>
        <v>-99999999999</v>
      </c>
      <c r="K238">
        <f t="shared" si="39"/>
        <v>0</v>
      </c>
      <c r="L238">
        <f t="shared" si="40"/>
        <v>-99999999999</v>
      </c>
    </row>
    <row r="239" spans="1:12" x14ac:dyDescent="0.2">
      <c r="A239">
        <v>233</v>
      </c>
      <c r="B239">
        <f t="shared" si="38"/>
        <v>-33</v>
      </c>
      <c r="C239">
        <f t="shared" si="38"/>
        <v>-88.5</v>
      </c>
      <c r="D239">
        <f t="shared" si="38"/>
        <v>5.25</v>
      </c>
      <c r="E239">
        <f t="shared" si="32"/>
        <v>-33</v>
      </c>
      <c r="F239">
        <f t="shared" si="33"/>
        <v>-88.5</v>
      </c>
      <c r="G239">
        <f t="shared" si="34"/>
        <v>5.25</v>
      </c>
      <c r="H239" s="8">
        <f t="array" ref="H239">MIN(IF(B239:D239&lt;&gt;-99999999999,B239:D239))</f>
        <v>-88.5</v>
      </c>
      <c r="I239">
        <f t="shared" si="31"/>
        <v>-99999999999</v>
      </c>
      <c r="K239">
        <f t="shared" si="39"/>
        <v>0</v>
      </c>
      <c r="L239">
        <f t="shared" si="40"/>
        <v>-99999999999</v>
      </c>
    </row>
    <row r="240" spans="1:12" x14ac:dyDescent="0.2">
      <c r="A240">
        <v>234</v>
      </c>
      <c r="B240">
        <f t="shared" si="38"/>
        <v>-34</v>
      </c>
      <c r="C240">
        <f t="shared" si="38"/>
        <v>-90</v>
      </c>
      <c r="D240">
        <f t="shared" si="38"/>
        <v>4.5</v>
      </c>
      <c r="E240">
        <f t="shared" si="32"/>
        <v>-34</v>
      </c>
      <c r="F240">
        <f t="shared" si="33"/>
        <v>-90</v>
      </c>
      <c r="G240">
        <f t="shared" si="34"/>
        <v>4.5</v>
      </c>
      <c r="H240" s="8">
        <f t="array" ref="H240">MIN(IF(B240:D240&lt;&gt;-99999999999,B240:D240))</f>
        <v>-90</v>
      </c>
      <c r="I240">
        <f t="shared" si="31"/>
        <v>-99999999999</v>
      </c>
      <c r="K240">
        <f t="shared" si="39"/>
        <v>0</v>
      </c>
      <c r="L240">
        <f t="shared" si="40"/>
        <v>-99999999999</v>
      </c>
    </row>
    <row r="241" spans="1:12" x14ac:dyDescent="0.2">
      <c r="A241">
        <v>235</v>
      </c>
      <c r="B241">
        <f t="shared" si="38"/>
        <v>-35</v>
      </c>
      <c r="C241">
        <f t="shared" si="38"/>
        <v>-91.5</v>
      </c>
      <c r="D241">
        <f t="shared" si="38"/>
        <v>3.75</v>
      </c>
      <c r="E241">
        <f t="shared" si="32"/>
        <v>-35</v>
      </c>
      <c r="F241">
        <f t="shared" si="33"/>
        <v>-91.5</v>
      </c>
      <c r="G241">
        <f t="shared" si="34"/>
        <v>3.75</v>
      </c>
      <c r="H241" s="8">
        <f t="array" ref="H241">MIN(IF(B241:D241&lt;&gt;-99999999999,B241:D241))</f>
        <v>-91.5</v>
      </c>
      <c r="I241">
        <f t="shared" si="31"/>
        <v>-99999999999</v>
      </c>
      <c r="K241">
        <f t="shared" si="39"/>
        <v>0</v>
      </c>
      <c r="L241">
        <f t="shared" si="40"/>
        <v>-99999999999</v>
      </c>
    </row>
    <row r="242" spans="1:12" x14ac:dyDescent="0.2">
      <c r="A242">
        <v>236</v>
      </c>
      <c r="B242">
        <f t="shared" si="38"/>
        <v>-36</v>
      </c>
      <c r="C242">
        <f t="shared" si="38"/>
        <v>-93</v>
      </c>
      <c r="D242">
        <f t="shared" si="38"/>
        <v>3</v>
      </c>
      <c r="E242">
        <f t="shared" si="32"/>
        <v>-36</v>
      </c>
      <c r="F242">
        <f t="shared" si="33"/>
        <v>-93</v>
      </c>
      <c r="G242">
        <f t="shared" si="34"/>
        <v>3</v>
      </c>
      <c r="H242" s="8">
        <f t="array" ref="H242">MIN(IF(B242:D242&lt;&gt;-99999999999,B242:D242))</f>
        <v>-93</v>
      </c>
      <c r="I242">
        <f t="shared" si="31"/>
        <v>-99999999999</v>
      </c>
      <c r="K242">
        <f t="shared" si="39"/>
        <v>0</v>
      </c>
      <c r="L242">
        <f t="shared" si="40"/>
        <v>-99999999999</v>
      </c>
    </row>
    <row r="243" spans="1:12" x14ac:dyDescent="0.2">
      <c r="A243">
        <v>237</v>
      </c>
      <c r="B243">
        <f t="shared" si="38"/>
        <v>-37</v>
      </c>
      <c r="C243">
        <f t="shared" si="38"/>
        <v>-94.5</v>
      </c>
      <c r="D243">
        <f t="shared" si="38"/>
        <v>2.25</v>
      </c>
      <c r="E243">
        <f t="shared" si="32"/>
        <v>-37</v>
      </c>
      <c r="F243">
        <f t="shared" si="33"/>
        <v>-94.5</v>
      </c>
      <c r="G243">
        <f t="shared" si="34"/>
        <v>2.25</v>
      </c>
      <c r="H243" s="8">
        <f t="array" ref="H243">MIN(IF(B243:D243&lt;&gt;-99999999999,B243:D243))</f>
        <v>-94.5</v>
      </c>
      <c r="I243">
        <f t="shared" si="31"/>
        <v>-99999999999</v>
      </c>
      <c r="K243">
        <f t="shared" si="39"/>
        <v>0</v>
      </c>
      <c r="L243">
        <f t="shared" si="40"/>
        <v>-99999999999</v>
      </c>
    </row>
    <row r="244" spans="1:12" x14ac:dyDescent="0.2">
      <c r="A244">
        <v>238</v>
      </c>
      <c r="B244">
        <f t="shared" si="38"/>
        <v>-38</v>
      </c>
      <c r="C244">
        <f t="shared" si="38"/>
        <v>-96</v>
      </c>
      <c r="D244">
        <f t="shared" si="38"/>
        <v>1.5</v>
      </c>
      <c r="E244">
        <f t="shared" si="32"/>
        <v>-38</v>
      </c>
      <c r="F244">
        <f t="shared" si="33"/>
        <v>-96</v>
      </c>
      <c r="G244">
        <f t="shared" si="34"/>
        <v>1.5</v>
      </c>
      <c r="H244" s="8">
        <f t="array" ref="H244">MIN(IF(B244:D244&lt;&gt;-99999999999,B244:D244))</f>
        <v>-96</v>
      </c>
      <c r="I244">
        <f t="shared" si="31"/>
        <v>-99999999999</v>
      </c>
      <c r="K244">
        <f t="shared" si="39"/>
        <v>0</v>
      </c>
      <c r="L244">
        <f t="shared" si="40"/>
        <v>-99999999999</v>
      </c>
    </row>
    <row r="245" spans="1:12" x14ac:dyDescent="0.2">
      <c r="A245">
        <v>239</v>
      </c>
      <c r="B245">
        <f t="shared" si="38"/>
        <v>-39</v>
      </c>
      <c r="C245">
        <f t="shared" si="38"/>
        <v>-97.5</v>
      </c>
      <c r="D245">
        <f t="shared" si="38"/>
        <v>0.75</v>
      </c>
      <c r="E245">
        <f t="shared" si="32"/>
        <v>-39</v>
      </c>
      <c r="F245">
        <f t="shared" si="33"/>
        <v>-97.5</v>
      </c>
      <c r="G245">
        <f t="shared" si="34"/>
        <v>0.75</v>
      </c>
      <c r="H245" s="8">
        <f t="array" ref="H245">MIN(IF(B245:D245&lt;&gt;-99999999999,B245:D245))</f>
        <v>-97.5</v>
      </c>
      <c r="I245">
        <f t="shared" si="31"/>
        <v>-99999999999</v>
      </c>
      <c r="K245">
        <f t="shared" si="39"/>
        <v>0</v>
      </c>
      <c r="L245">
        <f t="shared" si="40"/>
        <v>-99999999999</v>
      </c>
    </row>
    <row r="246" spans="1:12" x14ac:dyDescent="0.2">
      <c r="A246">
        <v>240</v>
      </c>
      <c r="B246">
        <f t="shared" si="38"/>
        <v>-40</v>
      </c>
      <c r="C246">
        <f t="shared" si="38"/>
        <v>-99</v>
      </c>
      <c r="D246">
        <f t="shared" si="38"/>
        <v>0</v>
      </c>
      <c r="E246">
        <f t="shared" si="32"/>
        <v>-40</v>
      </c>
      <c r="F246">
        <f t="shared" si="33"/>
        <v>-99</v>
      </c>
      <c r="G246">
        <f t="shared" si="34"/>
        <v>0</v>
      </c>
      <c r="H246" s="8">
        <f t="array" ref="H246">MIN(IF(B246:D246&lt;&gt;-99999999999,B246:D246))</f>
        <v>-99</v>
      </c>
      <c r="I246">
        <f t="shared" si="31"/>
        <v>-99999999999</v>
      </c>
      <c r="K246">
        <f t="shared" si="39"/>
        <v>0</v>
      </c>
      <c r="L246">
        <f t="shared" si="40"/>
        <v>-99999999999</v>
      </c>
    </row>
    <row r="247" spans="1:12" x14ac:dyDescent="0.2">
      <c r="A247">
        <v>241</v>
      </c>
      <c r="B247">
        <f t="shared" si="38"/>
        <v>-41</v>
      </c>
      <c r="C247">
        <f t="shared" si="38"/>
        <v>-100.5</v>
      </c>
      <c r="D247">
        <f t="shared" si="38"/>
        <v>-0.75</v>
      </c>
      <c r="E247">
        <f t="shared" si="32"/>
        <v>-41</v>
      </c>
      <c r="F247">
        <f t="shared" si="33"/>
        <v>-100.5</v>
      </c>
      <c r="G247">
        <f t="shared" si="34"/>
        <v>-0.75</v>
      </c>
      <c r="H247" s="8">
        <f t="array" ref="H247">MIN(IF(B247:D247&lt;&gt;-99999999999,B247:D247))</f>
        <v>-100.5</v>
      </c>
      <c r="I247">
        <f t="shared" si="31"/>
        <v>-99999999999</v>
      </c>
      <c r="K247">
        <f t="shared" si="39"/>
        <v>0</v>
      </c>
      <c r="L247">
        <f t="shared" si="40"/>
        <v>-99999999999</v>
      </c>
    </row>
    <row r="248" spans="1:12" x14ac:dyDescent="0.2">
      <c r="A248">
        <v>242</v>
      </c>
      <c r="B248">
        <f t="shared" si="38"/>
        <v>-42</v>
      </c>
      <c r="C248">
        <f t="shared" si="38"/>
        <v>-102</v>
      </c>
      <c r="D248">
        <f t="shared" si="38"/>
        <v>-1.5</v>
      </c>
      <c r="E248">
        <f t="shared" ref="E248:E255" si="41">IF(E$2,B248,-99999999999)</f>
        <v>-42</v>
      </c>
      <c r="F248">
        <f t="shared" ref="F248:F255" si="42">IF(F$2,C248,-99999999999)</f>
        <v>-102</v>
      </c>
      <c r="G248">
        <f t="shared" ref="G248:G255" si="43">IF(G$2,D248,-99999999999)</f>
        <v>-1.5</v>
      </c>
      <c r="H248" s="8">
        <f t="array" ref="H248">MIN(IF(B248:D248&lt;&gt;-99999999999,B248:D248))</f>
        <v>-102</v>
      </c>
      <c r="I248">
        <f t="shared" si="31"/>
        <v>-99999999999</v>
      </c>
      <c r="K248">
        <f t="shared" si="39"/>
        <v>0</v>
      </c>
      <c r="L248">
        <f t="shared" si="40"/>
        <v>-99999999999</v>
      </c>
    </row>
    <row r="249" spans="1:12" x14ac:dyDescent="0.2">
      <c r="A249">
        <v>243</v>
      </c>
      <c r="B249">
        <f t="shared" si="38"/>
        <v>-43</v>
      </c>
      <c r="C249">
        <f t="shared" si="38"/>
        <v>-103.5</v>
      </c>
      <c r="D249">
        <f t="shared" si="38"/>
        <v>-2.25</v>
      </c>
      <c r="E249">
        <f t="shared" si="41"/>
        <v>-43</v>
      </c>
      <c r="F249">
        <f t="shared" si="42"/>
        <v>-103.5</v>
      </c>
      <c r="G249">
        <f t="shared" si="43"/>
        <v>-2.25</v>
      </c>
      <c r="H249" s="8">
        <f t="array" ref="H249">MIN(IF(B249:D249&lt;&gt;-99999999999,B249:D249))</f>
        <v>-103.5</v>
      </c>
      <c r="I249">
        <f t="shared" si="31"/>
        <v>-99999999999</v>
      </c>
      <c r="K249">
        <f t="shared" si="39"/>
        <v>0</v>
      </c>
      <c r="L249">
        <f t="shared" si="40"/>
        <v>-99999999999</v>
      </c>
    </row>
    <row r="250" spans="1:12" x14ac:dyDescent="0.2">
      <c r="A250">
        <v>244</v>
      </c>
      <c r="B250">
        <f t="shared" si="38"/>
        <v>-44</v>
      </c>
      <c r="C250">
        <f t="shared" si="38"/>
        <v>-105</v>
      </c>
      <c r="D250">
        <f t="shared" si="38"/>
        <v>-3</v>
      </c>
      <c r="E250">
        <f t="shared" si="41"/>
        <v>-44</v>
      </c>
      <c r="F250">
        <f t="shared" si="42"/>
        <v>-105</v>
      </c>
      <c r="G250">
        <f t="shared" si="43"/>
        <v>-3</v>
      </c>
      <c r="H250" s="8">
        <f t="array" ref="H250">MIN(IF(B250:D250&lt;&gt;-99999999999,B250:D250))</f>
        <v>-105</v>
      </c>
      <c r="I250">
        <f t="shared" si="31"/>
        <v>-99999999999</v>
      </c>
      <c r="K250">
        <f t="shared" si="39"/>
        <v>0</v>
      </c>
      <c r="L250">
        <f t="shared" si="40"/>
        <v>-99999999999</v>
      </c>
    </row>
    <row r="251" spans="1:12" x14ac:dyDescent="0.2">
      <c r="A251">
        <v>245</v>
      </c>
      <c r="B251">
        <f t="shared" si="38"/>
        <v>-45</v>
      </c>
      <c r="C251">
        <f t="shared" si="38"/>
        <v>-106.5</v>
      </c>
      <c r="D251">
        <f t="shared" si="38"/>
        <v>-3.75</v>
      </c>
      <c r="E251">
        <f t="shared" si="41"/>
        <v>-45</v>
      </c>
      <c r="F251">
        <f t="shared" si="42"/>
        <v>-106.5</v>
      </c>
      <c r="G251">
        <f t="shared" si="43"/>
        <v>-3.75</v>
      </c>
      <c r="H251" s="8">
        <f t="array" ref="H251">MIN(IF(B251:D251&lt;&gt;-99999999999,B251:D251))</f>
        <v>-106.5</v>
      </c>
      <c r="I251">
        <f t="shared" si="31"/>
        <v>-99999999999</v>
      </c>
      <c r="K251">
        <f t="shared" si="39"/>
        <v>0</v>
      </c>
      <c r="L251">
        <f t="shared" si="40"/>
        <v>-99999999999</v>
      </c>
    </row>
    <row r="252" spans="1:12" x14ac:dyDescent="0.2">
      <c r="A252">
        <v>246</v>
      </c>
      <c r="B252">
        <f t="shared" si="38"/>
        <v>-46</v>
      </c>
      <c r="C252">
        <f t="shared" si="38"/>
        <v>-108</v>
      </c>
      <c r="D252">
        <f t="shared" si="38"/>
        <v>-4.5</v>
      </c>
      <c r="E252">
        <f t="shared" si="41"/>
        <v>-46</v>
      </c>
      <c r="F252">
        <f t="shared" si="42"/>
        <v>-108</v>
      </c>
      <c r="G252">
        <f t="shared" si="43"/>
        <v>-4.5</v>
      </c>
      <c r="H252" s="8">
        <f t="array" ref="H252">MIN(IF(B252:D252&lt;&gt;-99999999999,B252:D252))</f>
        <v>-108</v>
      </c>
      <c r="I252">
        <f t="shared" si="31"/>
        <v>-99999999999</v>
      </c>
      <c r="K252">
        <f t="shared" si="39"/>
        <v>0</v>
      </c>
      <c r="L252">
        <f t="shared" si="40"/>
        <v>-99999999999</v>
      </c>
    </row>
    <row r="253" spans="1:12" x14ac:dyDescent="0.2">
      <c r="A253">
        <v>247</v>
      </c>
      <c r="B253">
        <f t="shared" si="38"/>
        <v>-47</v>
      </c>
      <c r="C253">
        <f t="shared" si="38"/>
        <v>-109.5</v>
      </c>
      <c r="D253">
        <f t="shared" si="38"/>
        <v>-5.25</v>
      </c>
      <c r="E253">
        <f t="shared" si="41"/>
        <v>-47</v>
      </c>
      <c r="F253">
        <f t="shared" si="42"/>
        <v>-109.5</v>
      </c>
      <c r="G253">
        <f t="shared" si="43"/>
        <v>-5.25</v>
      </c>
      <c r="H253" s="8">
        <f t="array" ref="H253">MIN(IF(B253:D253&lt;&gt;-99999999999,B253:D253))</f>
        <v>-109.5</v>
      </c>
      <c r="I253">
        <f t="shared" si="31"/>
        <v>-99999999999</v>
      </c>
      <c r="K253">
        <f t="shared" si="39"/>
        <v>0</v>
      </c>
      <c r="L253">
        <f t="shared" si="40"/>
        <v>-99999999999</v>
      </c>
    </row>
    <row r="254" spans="1:12" x14ac:dyDescent="0.2">
      <c r="A254">
        <v>248</v>
      </c>
      <c r="B254">
        <f t="shared" si="38"/>
        <v>-48</v>
      </c>
      <c r="C254">
        <f t="shared" si="38"/>
        <v>-111</v>
      </c>
      <c r="D254">
        <f t="shared" si="38"/>
        <v>-6</v>
      </c>
      <c r="E254">
        <f t="shared" si="41"/>
        <v>-48</v>
      </c>
      <c r="F254">
        <f t="shared" si="42"/>
        <v>-111</v>
      </c>
      <c r="G254">
        <f t="shared" si="43"/>
        <v>-6</v>
      </c>
      <c r="H254" s="8">
        <f t="array" ref="H254">MIN(IF(B254:D254&lt;&gt;-99999999999,B254:D254))</f>
        <v>-111</v>
      </c>
      <c r="I254">
        <f t="shared" si="31"/>
        <v>-99999999999</v>
      </c>
      <c r="K254">
        <f t="shared" si="39"/>
        <v>0</v>
      </c>
      <c r="L254">
        <f t="shared" si="40"/>
        <v>-99999999999</v>
      </c>
    </row>
    <row r="255" spans="1:12" x14ac:dyDescent="0.2">
      <c r="A255" s="10">
        <v>0</v>
      </c>
      <c r="B255">
        <v>-99999999999</v>
      </c>
      <c r="C255">
        <v>-99999999999</v>
      </c>
      <c r="D255">
        <v>-99999999999</v>
      </c>
      <c r="E255">
        <f t="shared" si="41"/>
        <v>-99999999999</v>
      </c>
      <c r="F255">
        <f t="shared" si="42"/>
        <v>-99999999999</v>
      </c>
      <c r="G255">
        <f t="shared" si="43"/>
        <v>-99999999999</v>
      </c>
      <c r="H255">
        <v>-99999999999</v>
      </c>
      <c r="I255">
        <v>-99999999999</v>
      </c>
      <c r="K255">
        <v>-99999999999</v>
      </c>
      <c r="L255">
        <f t="shared" si="36"/>
        <v>-99999999999</v>
      </c>
    </row>
    <row r="256" spans="1:12" x14ac:dyDescent="0.2">
      <c r="H256" s="8"/>
    </row>
    <row r="257" spans="8:8" x14ac:dyDescent="0.2">
      <c r="H257" s="8"/>
    </row>
    <row r="258" spans="8:8" x14ac:dyDescent="0.2">
      <c r="H258" s="8"/>
    </row>
    <row r="259" spans="8:8" x14ac:dyDescent="0.2">
      <c r="H259" s="8"/>
    </row>
    <row r="260" spans="8:8" x14ac:dyDescent="0.2">
      <c r="H260" s="8"/>
    </row>
    <row r="261" spans="8:8" x14ac:dyDescent="0.2">
      <c r="H261" s="8"/>
    </row>
    <row r="262" spans="8:8" x14ac:dyDescent="0.2">
      <c r="H262" s="8"/>
    </row>
    <row r="263" spans="8:8" x14ac:dyDescent="0.2">
      <c r="H263" s="8"/>
    </row>
    <row r="264" spans="8:8" x14ac:dyDescent="0.2">
      <c r="H264" s="8"/>
    </row>
    <row r="265" spans="8:8" x14ac:dyDescent="0.2">
      <c r="H265" s="8"/>
    </row>
    <row r="266" spans="8:8" x14ac:dyDescent="0.2">
      <c r="H266" s="8"/>
    </row>
    <row r="267" spans="8:8" x14ac:dyDescent="0.2">
      <c r="H267" s="8"/>
    </row>
    <row r="268" spans="8:8" x14ac:dyDescent="0.2">
      <c r="H268" s="8"/>
    </row>
    <row r="269" spans="8:8" x14ac:dyDescent="0.2">
      <c r="H269" s="8"/>
    </row>
    <row r="270" spans="8:8" x14ac:dyDescent="0.2">
      <c r="H270" s="8"/>
    </row>
    <row r="271" spans="8:8" x14ac:dyDescent="0.2">
      <c r="H271" s="8"/>
    </row>
    <row r="272" spans="8:8" x14ac:dyDescent="0.2">
      <c r="H272" s="8"/>
    </row>
    <row r="273" spans="8:8" x14ac:dyDescent="0.2">
      <c r="H273" s="8"/>
    </row>
    <row r="274" spans="8:8" x14ac:dyDescent="0.2">
      <c r="H274" s="8"/>
    </row>
    <row r="275" spans="8:8" x14ac:dyDescent="0.2">
      <c r="H275" s="8"/>
    </row>
    <row r="276" spans="8:8" x14ac:dyDescent="0.2">
      <c r="H276" s="8"/>
    </row>
    <row r="277" spans="8:8" x14ac:dyDescent="0.2">
      <c r="H277" s="8"/>
    </row>
    <row r="278" spans="8:8" x14ac:dyDescent="0.2">
      <c r="H278" s="8"/>
    </row>
    <row r="279" spans="8:8" x14ac:dyDescent="0.2">
      <c r="H279" s="8"/>
    </row>
    <row r="280" spans="8:8" x14ac:dyDescent="0.2">
      <c r="H280" s="8"/>
    </row>
    <row r="281" spans="8:8" x14ac:dyDescent="0.2">
      <c r="H281" s="8"/>
    </row>
    <row r="282" spans="8:8" x14ac:dyDescent="0.2">
      <c r="H282" s="8"/>
    </row>
    <row r="283" spans="8:8" x14ac:dyDescent="0.2">
      <c r="H283" s="8"/>
    </row>
    <row r="284" spans="8:8" x14ac:dyDescent="0.2">
      <c r="H284" s="8"/>
    </row>
    <row r="285" spans="8:8" x14ac:dyDescent="0.2">
      <c r="H285" s="8"/>
    </row>
    <row r="286" spans="8:8" x14ac:dyDescent="0.2">
      <c r="H286" s="8"/>
    </row>
    <row r="287" spans="8:8" x14ac:dyDescent="0.2">
      <c r="H287" s="8"/>
    </row>
    <row r="288" spans="8:8" x14ac:dyDescent="0.2">
      <c r="H288" s="8"/>
    </row>
    <row r="289" spans="8:8" x14ac:dyDescent="0.2">
      <c r="H289" s="8"/>
    </row>
    <row r="290" spans="8:8" x14ac:dyDescent="0.2">
      <c r="H290" s="8"/>
    </row>
    <row r="291" spans="8:8" x14ac:dyDescent="0.2">
      <c r="H291" s="8"/>
    </row>
    <row r="292" spans="8:8" x14ac:dyDescent="0.2">
      <c r="H292" s="8"/>
    </row>
    <row r="293" spans="8:8" x14ac:dyDescent="0.2">
      <c r="H293" s="8"/>
    </row>
    <row r="294" spans="8:8" x14ac:dyDescent="0.2">
      <c r="H294" s="8"/>
    </row>
    <row r="295" spans="8:8" x14ac:dyDescent="0.2">
      <c r="H295" s="8"/>
    </row>
    <row r="296" spans="8:8" x14ac:dyDescent="0.2">
      <c r="H296" s="8"/>
    </row>
    <row r="297" spans="8:8" x14ac:dyDescent="0.2">
      <c r="H297" s="8"/>
    </row>
    <row r="298" spans="8:8" x14ac:dyDescent="0.2">
      <c r="H298" s="8"/>
    </row>
    <row r="299" spans="8:8" x14ac:dyDescent="0.2">
      <c r="H299" s="8"/>
    </row>
    <row r="300" spans="8:8" x14ac:dyDescent="0.2">
      <c r="H300" s="8"/>
    </row>
    <row r="301" spans="8:8" x14ac:dyDescent="0.2">
      <c r="H301" s="8"/>
    </row>
    <row r="302" spans="8:8" x14ac:dyDescent="0.2">
      <c r="H302" s="8"/>
    </row>
    <row r="303" spans="8:8" x14ac:dyDescent="0.2">
      <c r="H303" s="8"/>
    </row>
    <row r="304" spans="8:8" x14ac:dyDescent="0.2">
      <c r="H304" s="8"/>
    </row>
    <row r="305" spans="8:8" x14ac:dyDescent="0.2">
      <c r="H305" s="8"/>
    </row>
    <row r="306" spans="8:8" x14ac:dyDescent="0.2">
      <c r="H306" s="8"/>
    </row>
    <row r="307" spans="8:8" x14ac:dyDescent="0.2">
      <c r="H307" s="8"/>
    </row>
    <row r="308" spans="8:8" x14ac:dyDescent="0.2">
      <c r="H308" s="8"/>
    </row>
    <row r="309" spans="8:8" x14ac:dyDescent="0.2">
      <c r="H309" s="8"/>
    </row>
    <row r="310" spans="8:8" x14ac:dyDescent="0.2">
      <c r="H310" s="8"/>
    </row>
    <row r="311" spans="8:8" x14ac:dyDescent="0.2">
      <c r="H311" s="8"/>
    </row>
    <row r="312" spans="8:8" x14ac:dyDescent="0.2">
      <c r="H312" s="8"/>
    </row>
    <row r="313" spans="8:8" x14ac:dyDescent="0.2">
      <c r="H313" s="8"/>
    </row>
    <row r="314" spans="8:8" x14ac:dyDescent="0.2">
      <c r="H314" s="8"/>
    </row>
    <row r="315" spans="8:8" x14ac:dyDescent="0.2">
      <c r="H315" s="8"/>
    </row>
    <row r="316" spans="8:8" x14ac:dyDescent="0.2">
      <c r="H316" s="8"/>
    </row>
    <row r="317" spans="8:8" x14ac:dyDescent="0.2">
      <c r="H317" s="8"/>
    </row>
    <row r="318" spans="8:8" x14ac:dyDescent="0.2">
      <c r="H318" s="8"/>
    </row>
    <row r="319" spans="8:8" x14ac:dyDescent="0.2">
      <c r="H319" s="8"/>
    </row>
    <row r="320" spans="8:8" x14ac:dyDescent="0.2">
      <c r="H320" s="8"/>
    </row>
    <row r="321" spans="8:8" x14ac:dyDescent="0.2">
      <c r="H321" s="8"/>
    </row>
    <row r="322" spans="8:8" x14ac:dyDescent="0.2">
      <c r="H322" s="8"/>
    </row>
    <row r="323" spans="8:8" x14ac:dyDescent="0.2">
      <c r="H323" s="8"/>
    </row>
    <row r="324" spans="8:8" x14ac:dyDescent="0.2">
      <c r="H324" s="8"/>
    </row>
    <row r="325" spans="8:8" x14ac:dyDescent="0.2">
      <c r="H325" s="8"/>
    </row>
    <row r="326" spans="8:8" x14ac:dyDescent="0.2">
      <c r="H326" s="8"/>
    </row>
    <row r="327" spans="8:8" x14ac:dyDescent="0.2">
      <c r="H327" s="8"/>
    </row>
    <row r="328" spans="8:8" x14ac:dyDescent="0.2">
      <c r="H328" s="8"/>
    </row>
    <row r="329" spans="8:8" x14ac:dyDescent="0.2">
      <c r="H329" s="8"/>
    </row>
  </sheetData>
  <sheetProtection password="8C8B" sheet="1" objects="1" scenarios="1"/>
  <mergeCells count="2">
    <mergeCell ref="Q3:U3"/>
    <mergeCell ref="I1:J1"/>
  </mergeCells>
  <phoneticPr fontId="2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2005-08-09T19:22:03Z</outs:dateTime>
      <outs:isPinned>true</outs:isPinned>
    </outs:relatedDate>
    <outs:relatedDate>
      <outs:type>2</outs:type>
      <outs:displayName>Created</outs:displayName>
      <outs:dateTime>2005-06-07T17:10:54Z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Faculty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/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770EC4B-CFDC-492E-B5FC-1EB9E7E1078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Feasible region</vt:lpstr>
      <vt:lpstr>Data</vt:lpstr>
      <vt:lpstr>Profit</vt:lpstr>
    </vt:vector>
  </TitlesOfParts>
  <Company>Va Tech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Faculty</dc:creator>
  <cp:lastModifiedBy>Vlado</cp:lastModifiedBy>
  <cp:lastPrinted>2010-02-22T00:01:41Z</cp:lastPrinted>
  <dcterms:created xsi:type="dcterms:W3CDTF">2005-06-07T17:10:54Z</dcterms:created>
  <dcterms:modified xsi:type="dcterms:W3CDTF">2023-11-01T13:21:23Z</dcterms:modified>
</cp:coreProperties>
</file>